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eter\Documents\GitHub_Remotes\UWB_FALL_2018\css422_hardware\hw3\"/>
    </mc:Choice>
  </mc:AlternateContent>
  <xr:revisionPtr revIDLastSave="0" documentId="8_{E5555A17-659F-4B5E-8DC3-00CC99078110}" xr6:coauthVersionLast="37" xr6:coauthVersionMax="37" xr10:uidLastSave="{00000000-0000-0000-0000-000000000000}"/>
  <bookViews>
    <workbookView xWindow="0" yWindow="0" windowWidth="25605" windowHeight="16065" tabRatio="500" xr2:uid="{00000000-000D-0000-FFFF-FFFF00000000}"/>
  </bookViews>
  <sheets>
    <sheet name="Sheet1" sheetId="1" r:id="rId1"/>
  </sheets>
  <calcPr calcId="179021" concurrentCalc="0"/>
  <fileRecoveryPr repair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2" i="1" l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1" i="1"/>
  <c r="B40" i="1"/>
  <c r="F57" i="1"/>
  <c r="G39" i="1"/>
  <c r="G57" i="1"/>
  <c r="H39" i="1"/>
  <c r="H57" i="1"/>
  <c r="I39" i="1"/>
  <c r="I57" i="1"/>
  <c r="J39" i="1"/>
  <c r="J57" i="1"/>
  <c r="K39" i="1"/>
  <c r="K57" i="1"/>
  <c r="D57" i="1"/>
  <c r="F56" i="1"/>
  <c r="G56" i="1"/>
  <c r="H56" i="1"/>
  <c r="I56" i="1"/>
  <c r="J56" i="1"/>
  <c r="K56" i="1"/>
  <c r="D56" i="1"/>
  <c r="D55" i="1"/>
  <c r="D54" i="1"/>
  <c r="M53" i="1"/>
  <c r="E53" i="1"/>
  <c r="F53" i="1"/>
  <c r="G53" i="1"/>
  <c r="H53" i="1"/>
  <c r="I53" i="1"/>
  <c r="J53" i="1"/>
  <c r="K53" i="1"/>
  <c r="D53" i="1"/>
  <c r="F52" i="1"/>
  <c r="G52" i="1"/>
  <c r="H52" i="1"/>
  <c r="I52" i="1"/>
  <c r="J52" i="1"/>
  <c r="K52" i="1"/>
  <c r="D52" i="1"/>
  <c r="D51" i="1"/>
  <c r="D50" i="1"/>
  <c r="F49" i="1"/>
  <c r="G49" i="1"/>
  <c r="H49" i="1"/>
  <c r="I49" i="1"/>
  <c r="J49" i="1"/>
  <c r="K49" i="1"/>
  <c r="D49" i="1"/>
  <c r="F48" i="1"/>
  <c r="G48" i="1"/>
  <c r="H48" i="1"/>
  <c r="I48" i="1"/>
  <c r="J48" i="1"/>
  <c r="K48" i="1"/>
  <c r="D48" i="1"/>
  <c r="D47" i="1"/>
  <c r="D46" i="1"/>
  <c r="F45" i="1"/>
  <c r="G45" i="1"/>
  <c r="H45" i="1"/>
  <c r="I45" i="1"/>
  <c r="J45" i="1"/>
  <c r="K45" i="1"/>
  <c r="D45" i="1"/>
  <c r="F44" i="1"/>
  <c r="G44" i="1"/>
  <c r="H44" i="1"/>
  <c r="I44" i="1"/>
  <c r="J44" i="1"/>
  <c r="K44" i="1"/>
  <c r="D44" i="1"/>
  <c r="D43" i="1"/>
  <c r="D42" i="1"/>
  <c r="F41" i="1"/>
  <c r="G41" i="1"/>
  <c r="H41" i="1"/>
  <c r="I41" i="1"/>
  <c r="J41" i="1"/>
  <c r="K41" i="1"/>
  <c r="D41" i="1"/>
  <c r="F40" i="1"/>
  <c r="G40" i="1"/>
  <c r="H40" i="1"/>
  <c r="I40" i="1"/>
  <c r="J40" i="1"/>
  <c r="K40" i="1"/>
  <c r="D40" i="1"/>
  <c r="M57" i="1"/>
  <c r="M56" i="1"/>
  <c r="M52" i="1"/>
  <c r="M49" i="1"/>
  <c r="M48" i="1"/>
  <c r="M45" i="1"/>
  <c r="M44" i="1"/>
  <c r="M40" i="1"/>
  <c r="M41" i="1"/>
  <c r="D58" i="1"/>
  <c r="B25" i="1"/>
  <c r="B24" i="1"/>
  <c r="B21" i="1"/>
  <c r="B20" i="1"/>
  <c r="B17" i="1"/>
  <c r="B16" i="1"/>
  <c r="B15" i="1"/>
  <c r="B14" i="1"/>
</calcChain>
</file>

<file path=xl/sharedStrings.xml><?xml version="1.0" encoding="utf-8"?>
<sst xmlns="http://schemas.openxmlformats.org/spreadsheetml/2006/main" count="248" uniqueCount="162">
  <si>
    <t>Processor</t>
  </si>
  <si>
    <t># of Address Lines</t>
  </si>
  <si>
    <t># of Data Lines</t>
  </si>
  <si>
    <t># of Addressable Bins in Address Space</t>
  </si>
  <si>
    <t># of Pages of Memory</t>
  </si>
  <si>
    <t>(1 mp)</t>
  </si>
  <si>
    <t>Memory Device</t>
  </si>
  <si>
    <t># of Write Enable Lines (~WE)</t>
  </si>
  <si>
    <t>(1 chip)</t>
  </si>
  <si>
    <t>Page</t>
  </si>
  <si>
    <t>Address (Hex)</t>
  </si>
  <si>
    <t>Page 0 Starting Address</t>
  </si>
  <si>
    <t>Page 0 Ending Address</t>
  </si>
  <si>
    <t>Page 1 Starting Address</t>
  </si>
  <si>
    <t>Page 1 Ending Address</t>
  </si>
  <si>
    <t>…</t>
  </si>
  <si>
    <t>Page 7 Starting Address</t>
  </si>
  <si>
    <t>Page 7 Ending Address</t>
  </si>
  <si>
    <t>Page 15 Starting Address</t>
  </si>
  <si>
    <t>Page 15 Ending Address</t>
  </si>
  <si>
    <t xml:space="preserve">5) Does this memory system support byte-level addressing? Note that without more data, you must assume the smaller memory cannot select bytes. Support your conclusion with a sentence or two. </t>
  </si>
  <si>
    <t xml:space="preserve">4) What is the total number of memory devices (chips) required to completely fill this processor’s address space? </t>
  </si>
  <si>
    <t>15) Design the memory circuit described in problem 14 using the built-in RAM device provided in Logisim.   Configure the control lines and test your circuit.  Include this .circ file in your submission, and attach a screen shot of your work here.</t>
  </si>
  <si>
    <r>
      <t xml:space="preserve"> </t>
    </r>
    <r>
      <rPr>
        <b/>
        <sz val="20"/>
        <color theme="1"/>
        <rFont val="Calibri"/>
        <scheme val="minor"/>
      </rPr>
      <t>Answers</t>
    </r>
  </si>
  <si>
    <t>3) Complete the table below</t>
  </si>
  <si>
    <t>6a) How many BS bits?</t>
  </si>
  <si>
    <t>6b) How many offset bits?</t>
  </si>
  <si>
    <t>6c) How many page bits?</t>
  </si>
  <si>
    <t>7) How many memory devices/chips would you need to completely fill the addressable memory space of this processor?</t>
  </si>
  <si>
    <t>8) Fill in the table below</t>
  </si>
  <si>
    <t>Page 17 Starting Address</t>
  </si>
  <si>
    <t>Page 17 Ending Address</t>
  </si>
  <si>
    <t>Page 381 Starting Address</t>
  </si>
  <si>
    <t>Page 381 Ending Address</t>
  </si>
  <si>
    <t>Page 1024 Starting Address</t>
  </si>
  <si>
    <t>Page 1024 Ending Address</t>
  </si>
  <si>
    <t>Page 1094 Starting Address</t>
  </si>
  <si>
    <t>Page 1094 Ending Address</t>
  </si>
  <si>
    <t>9) Consider the control lines for the memory device, as indicated in the table below.  Write the logical boolean equation for a long word write (of 32 bits)</t>
  </si>
  <si>
    <t>10) What is the logical Boolean equation for the control signals to perform a byte-write to address 01 in little endian format?</t>
  </si>
  <si>
    <t>11) What is the logical Boolean equation for the control signals to perform a word-write to address 00 in big endian format?</t>
  </si>
  <si>
    <t>12) What is the logical Boolean equation for the control signals to perform a byte read for address 11?</t>
  </si>
  <si>
    <t>13) Suppose you want to write the value 5 in binary to address 3 in a 4x3 memory device.  The control and data lines are tabulated below; fill in the correct pattern of control and data signals to accomplish this write.</t>
  </si>
  <si>
    <t>14) Suppose you want to read some data from address 1 in an 8x4 memory device.  The control and data lines should be tabulated below; fill in the names of the appropriate address lines, data lines, and control lines using the previous problem as an example.  Note that this device has an active low write-enable and active high reset, just like the previous chip.  Fill in the lines and the correct pattern of signals to accomplish this read.</t>
  </si>
  <si>
    <t>D?</t>
  </si>
  <si>
    <t>R (Reset)</t>
  </si>
  <si>
    <t>?</t>
  </si>
  <si>
    <t>6) A specific microprocessor is described in the HW.  Using that processor’s specifications and answer the following questions.</t>
  </si>
  <si>
    <r>
      <t>Questions</t>
    </r>
    <r>
      <rPr>
        <sz val="12"/>
        <color rgb="FF000000"/>
        <rFont val="Calibri"/>
        <family val="2"/>
        <scheme val="minor"/>
      </rPr>
      <t xml:space="preserve"> </t>
    </r>
  </si>
  <si>
    <t>~WE</t>
  </si>
  <si>
    <t>A2</t>
  </si>
  <si>
    <t>A1</t>
  </si>
  <si>
    <t>A0</t>
  </si>
  <si>
    <t>D3</t>
  </si>
  <si>
    <t>D2</t>
  </si>
  <si>
    <t>D1</t>
  </si>
  <si>
    <t>D0</t>
  </si>
  <si>
    <t>&lt;Insert Screenshot here&gt;</t>
  </si>
  <si>
    <t>1a) How many addressable memory locations are in the first memory device?</t>
  </si>
  <si>
    <t>1b) How many addressable memory locations are in the second memory device?</t>
  </si>
  <si>
    <t xml:space="preserve">2a) How many bits of memory are in the first memory device? </t>
  </si>
  <si>
    <t xml:space="preserve">2b) How many bits of memory are in the second memory device? </t>
  </si>
  <si>
    <t>Number</t>
  </si>
  <si>
    <t xml:space="preserve">Binary </t>
  </si>
  <si>
    <t xml:space="preserve">Complemented </t>
  </si>
  <si>
    <t>Two's Complement</t>
  </si>
  <si>
    <t>Hex</t>
  </si>
  <si>
    <t>Decimal Value</t>
  </si>
  <si>
    <t>Starting Form</t>
  </si>
  <si>
    <t xml:space="preserve">Shifted Binary in Scientific Notation </t>
  </si>
  <si>
    <t>Sign Bit</t>
  </si>
  <si>
    <t>Exponent</t>
  </si>
  <si>
    <t>Mantissa</t>
  </si>
  <si>
    <t>Binary (with Mantissa)</t>
  </si>
  <si>
    <r>
      <t>(y * 2</t>
    </r>
    <r>
      <rPr>
        <b/>
        <vertAlign val="superscript"/>
        <sz val="11"/>
        <color theme="1"/>
        <rFont val="Cambria"/>
      </rPr>
      <t>c</t>
    </r>
    <r>
      <rPr>
        <b/>
        <sz val="11"/>
        <color theme="1"/>
        <rFont val="Cambria"/>
      </rPr>
      <t>)</t>
    </r>
  </si>
  <si>
    <t>-69/32</t>
  </si>
  <si>
    <t>Sign bit</t>
  </si>
  <si>
    <t>Exponent Bits</t>
  </si>
  <si>
    <t>Mantissa Bits</t>
  </si>
  <si>
    <t xml:space="preserve">(16) Convert the following numbers into 8-bit hexadecimal values. </t>
  </si>
  <si>
    <t xml:space="preserve">(17) Add up the first two binary numbers from the previous problem in Two’s complement form.  </t>
  </si>
  <si>
    <t>(17a) What is the sum in hex?</t>
  </si>
  <si>
    <t>(17b) What is the sign bit?</t>
  </si>
  <si>
    <t>(17c) Did overflow occur?</t>
  </si>
  <si>
    <t>(17d) Code this up in 68K and include a screenshot of the output here as well as your source &amp; listing files. What happens?</t>
  </si>
  <si>
    <t>(18) Using the IEEE single-precision floating-point format, convert the following numbers from decimal to binary</t>
  </si>
  <si>
    <t>(19) Convert the following IEEE single-precision floats from hex to decimal.  Show each step of your calculations for your sign bit, exponent, mantissa, and your final answer.</t>
  </si>
  <si>
    <t>(19a) 0x42E48000</t>
  </si>
  <si>
    <t>(19b) 0xC6F00040</t>
  </si>
  <si>
    <t>2^13 = 8192 addressable locations</t>
  </si>
  <si>
    <t>(2^7)*(2^10) = 2^17 = 131072 locations</t>
  </si>
  <si>
    <t>2^13 x 2^4 = 2^17 = 131072 bits of memory</t>
  </si>
  <si>
    <t>2^17 x 2^3 = 2^20 = 1048576 bits of memory</t>
  </si>
  <si>
    <t>0x</t>
  </si>
  <si>
    <t>page</t>
  </si>
  <si>
    <t>f</t>
  </si>
  <si>
    <t>BS</t>
  </si>
  <si>
    <t>offset</t>
  </si>
  <si>
    <t>2 chips per page, for 32 chips</t>
  </si>
  <si>
    <t>2^32 = 4294967296 'bins'</t>
  </si>
  <si>
    <t># of address lines</t>
  </si>
  <si>
    <t># of data lines</t>
  </si>
  <si>
    <t>Byte Addressable?</t>
  </si>
  <si>
    <t># of Addressable Pages in Address Space</t>
  </si>
  <si>
    <t>Yes;</t>
  </si>
  <si>
    <t>4 extra lines control writing to bytes</t>
  </si>
  <si>
    <t xml:space="preserve"> (~W0-~W3)</t>
  </si>
  <si>
    <t>Capacity</t>
  </si>
  <si>
    <t># of Addressable Locations</t>
  </si>
  <si>
    <t>1Mbit</t>
  </si>
  <si>
    <t>128K</t>
  </si>
  <si>
    <t>so offset is, (13-4) = 9 offset bits</t>
  </si>
  <si>
    <t>9 bits maps to 512 locations or 3f</t>
  </si>
  <si>
    <t>00 to 3f</t>
  </si>
  <si>
    <t>offset range</t>
  </si>
  <si>
    <t>page range</t>
  </si>
  <si>
    <t>0 to f</t>
  </si>
  <si>
    <t>we need page bits for 16 pages, so 4 bits</t>
  </si>
  <si>
    <t>Using low order interleaving</t>
  </si>
  <si>
    <t>13 bits</t>
  </si>
  <si>
    <t>1 bit</t>
  </si>
  <si>
    <t>4 bits</t>
  </si>
  <si>
    <t>bit allocation</t>
  </si>
  <si>
    <t>hex range</t>
  </si>
  <si>
    <t>1fff</t>
  </si>
  <si>
    <t>0000 to 1fff</t>
  </si>
  <si>
    <t>0 to 1</t>
  </si>
  <si>
    <t>000000</t>
  </si>
  <si>
    <t>1fff01</t>
  </si>
  <si>
    <t>000010</t>
  </si>
  <si>
    <t>1fff11</t>
  </si>
  <si>
    <t>000070</t>
  </si>
  <si>
    <t>1fff71</t>
  </si>
  <si>
    <t>0000f0</t>
  </si>
  <si>
    <t>1ffff1</t>
  </si>
  <si>
    <t xml:space="preserve">If by memory system we are talking about the the first processor and memory of up to 32 of the first memory device, then Yes. </t>
  </si>
  <si>
    <t>The 17 address lines on the mP allows for 1 additional line to be used as a byte sellection line that we may toggle in order to offset into the second byte if we wished. I showed this in the table for question 3 as the BS bit.</t>
  </si>
  <si>
    <t>assuming the larger memory device, so 2^7 locations needs 7 offset bits</t>
  </si>
  <si>
    <t>we can acces 2^4 chips per page, for 23 pages; gives 23*16 = 304 chips</t>
  </si>
  <si>
    <t>offset bits = 7</t>
  </si>
  <si>
    <t>byte bits = 4</t>
  </si>
  <si>
    <t>(the BS bits are in addition to the 30 address lines)  2^30/2^17  = 2^13 pages</t>
  </si>
  <si>
    <t>page bits = 13</t>
  </si>
  <si>
    <t>0000</t>
  </si>
  <si>
    <t>1111111111111</t>
  </si>
  <si>
    <t>0000000000000</t>
  </si>
  <si>
    <t>0000000010001</t>
  </si>
  <si>
    <t>0000101111101</t>
  </si>
  <si>
    <t>00010000000000</t>
  </si>
  <si>
    <t>00010001000110</t>
  </si>
  <si>
    <t>1111</t>
  </si>
  <si>
    <t>000000000000000000000000</t>
  </si>
  <si>
    <t>111111100000000000001111</t>
  </si>
  <si>
    <t/>
  </si>
  <si>
    <t>000000000000000100010000</t>
  </si>
  <si>
    <t>111111100000000100011111</t>
  </si>
  <si>
    <t>000000000001011111010000</t>
  </si>
  <si>
    <t>111111100001011111011111</t>
  </si>
  <si>
    <t>0000000000100000000000000</t>
  </si>
  <si>
    <t>0000000000100010001100000</t>
  </si>
  <si>
    <t>1111111000100010001101111</t>
  </si>
  <si>
    <t>=CONCAT(BIN2HEX(MID(L40,0,4)),BIN2HEX(MID(L40,4,4)),BIN2HEX(MID(L40,8,4)),BIN2HEX(MID(L40,12,4)),BIN2HEX(MID(L40,16,4)),BIN2HEX(MID(L40,20,4)))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</si>
</sst>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mbr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FFFFFF"/>
      <name val="Calibri"/>
      <scheme val="minor"/>
    </font>
    <font>
      <b/>
      <sz val="20"/>
      <color theme="1"/>
      <name val="Calibri"/>
      <scheme val="minor"/>
    </font>
    <font>
      <sz val="12"/>
      <color rgb="FF000000"/>
      <name val="Calibri"/>
      <family val="2"/>
      <scheme val="minor"/>
    </font>
    <font>
      <b/>
      <sz val="20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mbria"/>
    </font>
    <font>
      <b/>
      <sz val="12"/>
      <color theme="1"/>
      <name val="Calibri"/>
      <family val="2"/>
      <charset val="134"/>
      <scheme val="minor"/>
    </font>
    <font>
      <b/>
      <vertAlign val="superscript"/>
      <sz val="11"/>
      <color theme="1"/>
      <name val="Cambria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rgb="FFDFD8E8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5F497A"/>
        <bgColor rgb="FF000000"/>
      </patternFill>
    </fill>
    <fill>
      <patternFill patternType="solid">
        <fgColor rgb="FF548DD4"/>
        <bgColor rgb="FF000000"/>
      </patternFill>
    </fill>
    <fill>
      <patternFill patternType="solid">
        <fgColor rgb="FFEFD3D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5F497A"/>
        <bgColor indexed="64"/>
      </patternFill>
    </fill>
    <fill>
      <patternFill patternType="solid">
        <fgColor rgb="FF548DD4"/>
        <bgColor indexed="64"/>
      </patternFill>
    </fill>
  </fills>
  <borders count="32">
    <border>
      <left/>
      <right/>
      <top/>
      <bottom/>
      <diagonal/>
    </border>
    <border>
      <left style="medium">
        <color rgb="FF9F8AB9"/>
      </left>
      <right/>
      <top style="medium">
        <color rgb="FF9F8AB9"/>
      </top>
      <bottom style="medium">
        <color rgb="FF9F8AB9"/>
      </bottom>
      <diagonal/>
    </border>
    <border>
      <left/>
      <right/>
      <top style="medium">
        <color rgb="FF9F8AB9"/>
      </top>
      <bottom style="medium">
        <color rgb="FF9F8AB9"/>
      </bottom>
      <diagonal/>
    </border>
    <border>
      <left/>
      <right style="medium">
        <color rgb="FF9F8AB9"/>
      </right>
      <top style="medium">
        <color rgb="FF9F8AB9"/>
      </top>
      <bottom style="medium">
        <color rgb="FF9F8AB9"/>
      </bottom>
      <diagonal/>
    </border>
    <border>
      <left style="medium">
        <color rgb="FF9F8AB9"/>
      </left>
      <right/>
      <top/>
      <bottom style="medium">
        <color rgb="FF9F8AB9"/>
      </bottom>
      <diagonal/>
    </border>
    <border>
      <left/>
      <right/>
      <top/>
      <bottom style="medium">
        <color rgb="FF9F8AB9"/>
      </bottom>
      <diagonal/>
    </border>
    <border>
      <left/>
      <right style="medium">
        <color rgb="FF9F8AB9"/>
      </right>
      <top/>
      <bottom style="medium">
        <color rgb="FF9F8AB9"/>
      </bottom>
      <diagonal/>
    </border>
    <border>
      <left style="medium">
        <color rgb="FF7BA0CD"/>
      </left>
      <right/>
      <top style="medium">
        <color rgb="FF7BA0CD"/>
      </top>
      <bottom style="medium">
        <color rgb="FF7BA0CD"/>
      </bottom>
      <diagonal/>
    </border>
    <border>
      <left/>
      <right/>
      <top style="medium">
        <color rgb="FF7BA0CD"/>
      </top>
      <bottom style="medium">
        <color rgb="FF7BA0CD"/>
      </bottom>
      <diagonal/>
    </border>
    <border>
      <left/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/>
      <top/>
      <bottom style="medium">
        <color rgb="FF7BA0CD"/>
      </bottom>
      <diagonal/>
    </border>
    <border>
      <left/>
      <right/>
      <top/>
      <bottom style="medium">
        <color rgb="FF7BA0CD"/>
      </bottom>
      <diagonal/>
    </border>
    <border>
      <left/>
      <right style="medium">
        <color rgb="FF7BA0CD"/>
      </right>
      <top/>
      <bottom style="medium">
        <color rgb="FF7BA0CD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thick">
        <color rgb="FFC0504D"/>
      </bottom>
      <diagonal/>
    </border>
    <border>
      <left/>
      <right style="medium">
        <color rgb="FFC0504D"/>
      </right>
      <top style="medium">
        <color rgb="FFC0504D"/>
      </top>
      <bottom style="thick">
        <color rgb="FFC0504D"/>
      </bottom>
      <diagonal/>
    </border>
    <border>
      <left style="medium">
        <color rgb="FFC0504D"/>
      </left>
      <right style="medium">
        <color rgb="FFC0504D"/>
      </right>
      <top/>
      <bottom style="medium">
        <color rgb="FFC0504D"/>
      </bottom>
      <diagonal/>
    </border>
    <border>
      <left/>
      <right style="medium">
        <color rgb="FFC0504D"/>
      </right>
      <top/>
      <bottom style="medium">
        <color rgb="FFC0504D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 style="medium">
        <color rgb="FF4BACC6"/>
      </top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/>
      <diagonal/>
    </border>
    <border>
      <left/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medium">
        <color rgb="FF9BBB59"/>
      </right>
      <top/>
      <bottom style="thick">
        <color rgb="FF9BBB59"/>
      </bottom>
      <diagonal/>
    </border>
    <border>
      <left/>
      <right style="medium">
        <color rgb="FF9BBB59"/>
      </right>
      <top/>
      <bottom style="thick">
        <color rgb="FF9BBB59"/>
      </bottom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 style="thick">
        <color rgb="FF9BBB59"/>
      </bottom>
      <diagonal/>
    </border>
    <border>
      <left/>
      <right style="medium">
        <color rgb="FF9BBB59"/>
      </right>
      <top style="medium">
        <color rgb="FF9BBB59"/>
      </top>
      <bottom style="thick">
        <color rgb="FF9BBB59"/>
      </bottom>
      <diagonal/>
    </border>
    <border>
      <left style="medium">
        <color rgb="FF9F8AB9"/>
      </left>
      <right/>
      <top/>
      <bottom/>
      <diagonal/>
    </border>
    <border>
      <left/>
      <right style="medium">
        <color rgb="FF9F8AB9"/>
      </right>
      <top/>
      <bottom/>
      <diagonal/>
    </border>
    <border>
      <left style="medium">
        <color rgb="FF9F8AB9"/>
      </left>
      <right/>
      <top style="medium">
        <color rgb="FF9F8AB9"/>
      </top>
      <bottom/>
      <diagonal/>
    </border>
    <border>
      <left/>
      <right/>
      <top style="medium">
        <color rgb="FF9F8AB9"/>
      </top>
      <bottom/>
      <diagonal/>
    </border>
    <border>
      <left/>
      <right style="medium">
        <color rgb="FF9F8AB9"/>
      </right>
      <top style="medium">
        <color rgb="FF9F8AB9"/>
      </top>
      <bottom/>
      <diagonal/>
    </border>
  </borders>
  <cellStyleXfs count="2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0" fillId="6" borderId="0" xfId="0" applyFill="1"/>
    <xf numFmtId="0" fontId="3" fillId="0" borderId="14" xfId="0" applyFont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0" fillId="0" borderId="0" xfId="0" applyFill="1"/>
    <xf numFmtId="0" fontId="3" fillId="0" borderId="17" xfId="0" applyFont="1" applyBorder="1" applyAlignment="1">
      <alignment vertical="center" wrapText="1"/>
    </xf>
    <xf numFmtId="0" fontId="3" fillId="6" borderId="18" xfId="0" applyFont="1" applyFill="1" applyBorder="1" applyAlignment="1">
      <alignment vertical="center" wrapText="1"/>
    </xf>
    <xf numFmtId="0" fontId="2" fillId="6" borderId="19" xfId="0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0" fontId="6" fillId="8" borderId="1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6" fillId="9" borderId="7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2" fillId="0" borderId="13" xfId="0" applyFont="1" applyBorder="1" applyAlignment="1">
      <alignment vertical="center" wrapText="1"/>
    </xf>
    <xf numFmtId="0" fontId="12" fillId="10" borderId="15" xfId="0" applyFont="1" applyFill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49" fontId="8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left" vertical="center" wrapText="1"/>
    </xf>
    <xf numFmtId="0" fontId="12" fillId="0" borderId="17" xfId="0" applyFont="1" applyBorder="1" applyAlignment="1">
      <alignment vertical="center" wrapText="1"/>
    </xf>
    <xf numFmtId="0" fontId="12" fillId="11" borderId="18" xfId="0" applyFont="1" applyFill="1" applyBorder="1" applyAlignment="1">
      <alignment vertical="center" wrapText="1"/>
    </xf>
    <xf numFmtId="0" fontId="11" fillId="11" borderId="19" xfId="0" applyFont="1" applyFill="1" applyBorder="1" applyAlignment="1">
      <alignment vertical="center" wrapText="1"/>
    </xf>
    <xf numFmtId="0" fontId="12" fillId="0" borderId="20" xfId="0" applyFont="1" applyFill="1" applyBorder="1" applyAlignment="1">
      <alignment vertical="center" wrapText="1"/>
    </xf>
    <xf numFmtId="0" fontId="3" fillId="0" borderId="17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 wrapText="1"/>
    </xf>
    <xf numFmtId="0" fontId="13" fillId="12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22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49" fontId="2" fillId="0" borderId="0" xfId="0" applyNumberFormat="1" applyFont="1" applyAlignment="1">
      <alignment horizontal="left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16" fillId="13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vertical="center" wrapText="1"/>
    </xf>
    <xf numFmtId="0" fontId="16" fillId="3" borderId="3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6" fillId="14" borderId="7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vertical="center" wrapText="1"/>
    </xf>
    <xf numFmtId="0" fontId="16" fillId="4" borderId="9" xfId="0" applyFont="1" applyFill="1" applyBorder="1" applyAlignment="1">
      <alignment vertical="center" wrapText="1"/>
    </xf>
    <xf numFmtId="0" fontId="15" fillId="14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3" fillId="12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6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NumberFormat="1"/>
    <xf numFmtId="0" fontId="3" fillId="0" borderId="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7" fillId="0" borderId="17" xfId="0" applyFont="1" applyFill="1" applyBorder="1" applyAlignment="1">
      <alignment vertical="center" wrapText="1"/>
    </xf>
    <xf numFmtId="0" fontId="15" fillId="13" borderId="29" xfId="0" applyFont="1" applyFill="1" applyBorder="1" applyAlignment="1">
      <alignment vertical="center" wrapText="1"/>
    </xf>
    <xf numFmtId="0" fontId="15" fillId="13" borderId="27" xfId="0" applyFont="1" applyFill="1" applyBorder="1" applyAlignment="1">
      <alignment vertical="center" wrapText="1"/>
    </xf>
    <xf numFmtId="0" fontId="15" fillId="13" borderId="4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tabSelected="1" topLeftCell="A93" zoomScale="115" zoomScaleNormal="115" workbookViewId="0">
      <selection activeCell="A61" sqref="A61"/>
    </sheetView>
  </sheetViews>
  <sheetFormatPr defaultColWidth="11" defaultRowHeight="15.75"/>
  <cols>
    <col min="1" max="1" width="64.875" customWidth="1"/>
    <col min="2" max="2" width="41.25" customWidth="1"/>
    <col min="3" max="6" width="17.875" customWidth="1"/>
    <col min="7" max="7" width="11.5" customWidth="1"/>
    <col min="8" max="9" width="36.75" customWidth="1"/>
    <col min="10" max="10" width="23.25" customWidth="1"/>
    <col min="11" max="11" width="28.375" customWidth="1"/>
    <col min="12" max="12" width="23.25" customWidth="1"/>
    <col min="13" max="13" width="25.375" bestFit="1" customWidth="1"/>
  </cols>
  <sheetData>
    <row r="1" spans="1:11" ht="27" thickBot="1">
      <c r="A1" s="18" t="s">
        <v>48</v>
      </c>
      <c r="B1" t="s">
        <v>23</v>
      </c>
    </row>
    <row r="2" spans="1:11" ht="30.75" thickBot="1">
      <c r="A2" s="19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11" ht="30.75" thickBot="1">
      <c r="A3" s="20" t="s">
        <v>5</v>
      </c>
      <c r="B3" s="3">
        <v>17</v>
      </c>
      <c r="C3" s="3">
        <v>32</v>
      </c>
      <c r="D3" s="45" t="s">
        <v>99</v>
      </c>
      <c r="E3" s="4">
        <v>16</v>
      </c>
    </row>
    <row r="4" spans="1:11" ht="30.75" thickBot="1">
      <c r="A4" s="21" t="s">
        <v>6</v>
      </c>
      <c r="B4" s="5" t="s">
        <v>1</v>
      </c>
      <c r="C4" s="5" t="s">
        <v>2</v>
      </c>
      <c r="D4" s="6" t="s">
        <v>7</v>
      </c>
    </row>
    <row r="5" spans="1:11" ht="16.5" thickBot="1">
      <c r="A5" s="22" t="s">
        <v>8</v>
      </c>
      <c r="B5" s="7">
        <v>13</v>
      </c>
      <c r="C5" s="7">
        <v>16</v>
      </c>
      <c r="D5" s="8">
        <v>1</v>
      </c>
    </row>
    <row r="6" spans="1:11">
      <c r="A6" s="23"/>
      <c r="B6" s="14"/>
    </row>
    <row r="7" spans="1:11">
      <c r="A7" s="23" t="s">
        <v>58</v>
      </c>
      <c r="B7" s="9" t="s">
        <v>89</v>
      </c>
    </row>
    <row r="8" spans="1:11">
      <c r="A8" s="23" t="s">
        <v>59</v>
      </c>
      <c r="B8" s="9" t="s">
        <v>90</v>
      </c>
      <c r="G8" t="s">
        <v>117</v>
      </c>
    </row>
    <row r="9" spans="1:11">
      <c r="A9" s="23" t="s">
        <v>60</v>
      </c>
      <c r="B9" s="9" t="s">
        <v>91</v>
      </c>
      <c r="G9" t="s">
        <v>111</v>
      </c>
      <c r="K9" t="s">
        <v>112</v>
      </c>
    </row>
    <row r="10" spans="1:11">
      <c r="A10" s="23" t="s">
        <v>61</v>
      </c>
      <c r="B10" s="9" t="s">
        <v>92</v>
      </c>
      <c r="G10" t="s">
        <v>115</v>
      </c>
      <c r="H10" t="s">
        <v>116</v>
      </c>
      <c r="J10" t="s">
        <v>114</v>
      </c>
      <c r="K10" t="s">
        <v>113</v>
      </c>
    </row>
    <row r="11" spans="1:11">
      <c r="A11" s="23"/>
      <c r="F11" t="s">
        <v>97</v>
      </c>
      <c r="G11" t="s">
        <v>94</v>
      </c>
      <c r="H11" t="s">
        <v>96</v>
      </c>
    </row>
    <row r="12" spans="1:11" ht="16.5" thickBot="1">
      <c r="A12" s="24" t="s">
        <v>24</v>
      </c>
      <c r="B12" t="s">
        <v>118</v>
      </c>
      <c r="E12" t="s">
        <v>122</v>
      </c>
      <c r="F12" t="s">
        <v>119</v>
      </c>
      <c r="G12" t="s">
        <v>121</v>
      </c>
      <c r="H12" t="s">
        <v>120</v>
      </c>
    </row>
    <row r="13" spans="1:11" ht="16.5" thickBot="1">
      <c r="A13" s="25" t="s">
        <v>9</v>
      </c>
      <c r="B13" s="10" t="s">
        <v>10</v>
      </c>
      <c r="E13" t="s">
        <v>123</v>
      </c>
      <c r="F13" t="s">
        <v>125</v>
      </c>
      <c r="G13" t="s">
        <v>116</v>
      </c>
      <c r="H13" t="s">
        <v>126</v>
      </c>
    </row>
    <row r="14" spans="1:11" ht="17.25" thickTop="1" thickBot="1">
      <c r="A14" s="26" t="s">
        <v>11</v>
      </c>
      <c r="B14" s="13" t="str">
        <f>_xlfn.CONCAT(C14,D14)</f>
        <v>0x000000</v>
      </c>
      <c r="C14" t="s">
        <v>93</v>
      </c>
      <c r="D14" s="58" t="s">
        <v>127</v>
      </c>
      <c r="F14" s="59">
        <v>0</v>
      </c>
      <c r="G14" s="59">
        <v>0</v>
      </c>
      <c r="H14" s="59">
        <v>0</v>
      </c>
      <c r="I14" s="59"/>
    </row>
    <row r="15" spans="1:11" ht="16.5" thickBot="1">
      <c r="A15" s="27" t="s">
        <v>12</v>
      </c>
      <c r="B15" s="13" t="str">
        <f>_xlfn.CONCAT(C15,D15)</f>
        <v>0x1fff01</v>
      </c>
      <c r="C15" t="s">
        <v>93</v>
      </c>
      <c r="D15" t="s">
        <v>128</v>
      </c>
      <c r="F15" s="59" t="s">
        <v>124</v>
      </c>
      <c r="G15" s="59">
        <v>0</v>
      </c>
      <c r="H15" s="59">
        <v>1</v>
      </c>
      <c r="I15" s="59"/>
    </row>
    <row r="16" spans="1:11" ht="16.5" thickBot="1">
      <c r="A16" s="26" t="s">
        <v>13</v>
      </c>
      <c r="B16" s="13" t="str">
        <f>_xlfn.CONCAT(C16,D16)</f>
        <v>0x000010</v>
      </c>
      <c r="C16" t="s">
        <v>93</v>
      </c>
      <c r="D16" s="58" t="s">
        <v>129</v>
      </c>
      <c r="F16" s="59">
        <v>0</v>
      </c>
      <c r="G16" s="59">
        <v>1</v>
      </c>
      <c r="H16" s="59">
        <v>0</v>
      </c>
      <c r="I16" s="59"/>
    </row>
    <row r="17" spans="1:9" ht="16.5" thickBot="1">
      <c r="A17" s="27" t="s">
        <v>14</v>
      </c>
      <c r="B17" s="13" t="str">
        <f>_xlfn.CONCAT(C17,D17)</f>
        <v>0x1fff11</v>
      </c>
      <c r="C17" t="s">
        <v>93</v>
      </c>
      <c r="D17" s="58" t="s">
        <v>130</v>
      </c>
      <c r="F17" s="59" t="s">
        <v>124</v>
      </c>
      <c r="G17" s="59">
        <v>1</v>
      </c>
      <c r="H17" s="59">
        <v>1</v>
      </c>
      <c r="I17" s="59"/>
    </row>
    <row r="18" spans="1:9" ht="16.5" thickBot="1">
      <c r="A18" s="26" t="s">
        <v>15</v>
      </c>
      <c r="B18" s="11" t="s">
        <v>15</v>
      </c>
      <c r="F18" s="59"/>
      <c r="G18" s="59"/>
      <c r="H18" s="59"/>
      <c r="I18" s="59"/>
    </row>
    <row r="19" spans="1:9" ht="16.5" thickBot="1">
      <c r="A19" s="27" t="s">
        <v>15</v>
      </c>
      <c r="B19" s="12" t="s">
        <v>15</v>
      </c>
      <c r="F19" s="59"/>
      <c r="G19" s="59"/>
      <c r="H19" s="59"/>
      <c r="I19" s="59"/>
    </row>
    <row r="20" spans="1:9" ht="16.5" thickBot="1">
      <c r="A20" s="26" t="s">
        <v>16</v>
      </c>
      <c r="B20" s="13" t="str">
        <f>_xlfn.CONCAT(C20,D20)</f>
        <v>0x000070</v>
      </c>
      <c r="C20" t="s">
        <v>93</v>
      </c>
      <c r="D20" s="58" t="s">
        <v>131</v>
      </c>
      <c r="F20" s="59">
        <v>0</v>
      </c>
      <c r="G20" s="59">
        <v>7</v>
      </c>
      <c r="H20" s="59">
        <v>0</v>
      </c>
      <c r="I20" s="59"/>
    </row>
    <row r="21" spans="1:9" ht="16.5" thickBot="1">
      <c r="A21" s="27" t="s">
        <v>17</v>
      </c>
      <c r="B21" s="13" t="str">
        <f>_xlfn.CONCAT(C21,D21)</f>
        <v>0x1fff71</v>
      </c>
      <c r="C21" t="s">
        <v>93</v>
      </c>
      <c r="D21" t="s">
        <v>132</v>
      </c>
      <c r="F21" s="59" t="s">
        <v>124</v>
      </c>
      <c r="G21" s="59">
        <v>7</v>
      </c>
      <c r="H21" s="59">
        <v>1</v>
      </c>
      <c r="I21" s="59"/>
    </row>
    <row r="22" spans="1:9" ht="16.5" thickBot="1">
      <c r="A22" s="26" t="s">
        <v>15</v>
      </c>
      <c r="B22" s="11" t="s">
        <v>15</v>
      </c>
      <c r="F22" s="59"/>
      <c r="G22" s="59"/>
      <c r="H22" s="59"/>
      <c r="I22" s="59"/>
    </row>
    <row r="23" spans="1:9" ht="16.5" thickBot="1">
      <c r="A23" s="27" t="s">
        <v>15</v>
      </c>
      <c r="B23" s="12" t="s">
        <v>15</v>
      </c>
      <c r="F23" s="59"/>
      <c r="G23" s="59"/>
      <c r="H23" s="59"/>
      <c r="I23" s="59"/>
    </row>
    <row r="24" spans="1:9" ht="16.5" thickBot="1">
      <c r="A24" s="26" t="s">
        <v>18</v>
      </c>
      <c r="B24" s="13" t="str">
        <f>_xlfn.CONCAT(C24,D24)</f>
        <v>0x0000f0</v>
      </c>
      <c r="C24" t="s">
        <v>93</v>
      </c>
      <c r="D24" s="58" t="s">
        <v>133</v>
      </c>
      <c r="F24" s="59">
        <v>0</v>
      </c>
      <c r="G24" s="59" t="s">
        <v>95</v>
      </c>
      <c r="H24" s="59">
        <v>0</v>
      </c>
      <c r="I24" s="59"/>
    </row>
    <row r="25" spans="1:9" ht="16.5" thickBot="1">
      <c r="A25" s="27" t="s">
        <v>19</v>
      </c>
      <c r="B25" s="13" t="str">
        <f>_xlfn.CONCAT(C25,D25)</f>
        <v>0x1ffff1</v>
      </c>
      <c r="C25" t="s">
        <v>93</v>
      </c>
      <c r="D25" s="58" t="s">
        <v>134</v>
      </c>
      <c r="F25" s="59" t="s">
        <v>124</v>
      </c>
      <c r="G25" s="59" t="s">
        <v>95</v>
      </c>
      <c r="H25" s="59">
        <v>1</v>
      </c>
      <c r="I25" s="59"/>
    </row>
    <row r="26" spans="1:9" ht="16.5" thickBot="1">
      <c r="A26" s="24"/>
    </row>
    <row r="27" spans="1:9" ht="75.75" thickBot="1">
      <c r="A27" s="23" t="s">
        <v>21</v>
      </c>
      <c r="B27" s="9" t="s">
        <v>98</v>
      </c>
      <c r="C27" s="47" t="s">
        <v>0</v>
      </c>
      <c r="D27" s="48" t="s">
        <v>100</v>
      </c>
      <c r="E27" s="48" t="s">
        <v>101</v>
      </c>
      <c r="F27" s="48" t="s">
        <v>102</v>
      </c>
      <c r="G27" s="49" t="s">
        <v>103</v>
      </c>
    </row>
    <row r="28" spans="1:9">
      <c r="A28" s="23"/>
      <c r="B28" s="14"/>
      <c r="C28" s="73" t="s">
        <v>5</v>
      </c>
      <c r="D28" s="76">
        <v>30</v>
      </c>
      <c r="E28" s="76">
        <v>32</v>
      </c>
      <c r="F28" s="50" t="s">
        <v>104</v>
      </c>
      <c r="G28" s="79" t="s">
        <v>46</v>
      </c>
    </row>
    <row r="29" spans="1:9" ht="47.25">
      <c r="A29" s="28" t="s">
        <v>20</v>
      </c>
      <c r="B29" s="46" t="s">
        <v>135</v>
      </c>
      <c r="C29" s="74"/>
      <c r="D29" s="77"/>
      <c r="E29" s="77"/>
      <c r="F29" s="50" t="s">
        <v>105</v>
      </c>
      <c r="G29" s="80"/>
    </row>
    <row r="30" spans="1:9" ht="79.5" thickBot="1">
      <c r="A30" s="24"/>
      <c r="B30" s="46" t="s">
        <v>136</v>
      </c>
      <c r="C30" s="75"/>
      <c r="D30" s="78"/>
      <c r="E30" s="78"/>
      <c r="F30" s="51" t="s">
        <v>106</v>
      </c>
      <c r="G30" s="81"/>
    </row>
    <row r="31" spans="1:9" ht="32.25" thickBot="1">
      <c r="A31" s="24" t="s">
        <v>47</v>
      </c>
    </row>
    <row r="32" spans="1:9" ht="30.75" thickBot="1">
      <c r="A32" s="24" t="s">
        <v>25</v>
      </c>
      <c r="B32" s="9">
        <v>4</v>
      </c>
      <c r="C32" s="52" t="s">
        <v>6</v>
      </c>
      <c r="D32" s="53" t="s">
        <v>107</v>
      </c>
      <c r="E32" s="53" t="s">
        <v>108</v>
      </c>
      <c r="F32" s="54" t="s">
        <v>2</v>
      </c>
    </row>
    <row r="33" spans="1:15" ht="32.25" thickBot="1">
      <c r="A33" s="24" t="s">
        <v>26</v>
      </c>
      <c r="B33" s="46" t="s">
        <v>137</v>
      </c>
      <c r="C33" s="55" t="s">
        <v>8</v>
      </c>
      <c r="D33" s="56" t="s">
        <v>109</v>
      </c>
      <c r="E33" s="56" t="s">
        <v>110</v>
      </c>
      <c r="F33" s="57">
        <v>8</v>
      </c>
    </row>
    <row r="34" spans="1:15" ht="31.5">
      <c r="A34" s="24" t="s">
        <v>27</v>
      </c>
      <c r="B34" s="46" t="s">
        <v>141</v>
      </c>
    </row>
    <row r="35" spans="1:15">
      <c r="A35" s="24"/>
    </row>
    <row r="36" spans="1:15" ht="31.5">
      <c r="A36" s="23" t="s">
        <v>28</v>
      </c>
      <c r="B36" s="46" t="s">
        <v>138</v>
      </c>
      <c r="M36" t="s">
        <v>139</v>
      </c>
      <c r="N36" t="s">
        <v>142</v>
      </c>
      <c r="O36" t="s">
        <v>140</v>
      </c>
    </row>
    <row r="37" spans="1:15">
      <c r="A37" s="24"/>
      <c r="E37" s="58" t="s">
        <v>161</v>
      </c>
      <c r="F37" s="58"/>
      <c r="M37" s="66">
        <v>1111111</v>
      </c>
      <c r="N37" s="66" t="s">
        <v>144</v>
      </c>
      <c r="O37" s="66">
        <v>1111</v>
      </c>
    </row>
    <row r="38" spans="1:15" ht="16.5" thickBot="1">
      <c r="A38" s="24" t="s">
        <v>29</v>
      </c>
      <c r="J38" s="67"/>
      <c r="M38" s="67"/>
      <c r="N38" s="67"/>
      <c r="O38" s="67"/>
    </row>
    <row r="39" spans="1:15" ht="16.5" thickBot="1">
      <c r="A39" s="25" t="s">
        <v>9</v>
      </c>
      <c r="B39" s="10" t="s">
        <v>10</v>
      </c>
      <c r="C39" s="60"/>
      <c r="E39" s="60"/>
      <c r="F39" s="60">
        <v>1</v>
      </c>
      <c r="G39">
        <f>F39+4</f>
        <v>5</v>
      </c>
      <c r="H39">
        <f>G39+4</f>
        <v>9</v>
      </c>
      <c r="I39">
        <f>H39+4</f>
        <v>13</v>
      </c>
      <c r="J39">
        <f>I39+4</f>
        <v>17</v>
      </c>
      <c r="K39">
        <f>J39+4</f>
        <v>21</v>
      </c>
      <c r="M39" s="65"/>
      <c r="N39" s="65"/>
      <c r="O39" s="67"/>
    </row>
    <row r="40" spans="1:15" ht="15" customHeight="1" thickTop="1" thickBot="1">
      <c r="A40" s="26" t="s">
        <v>11</v>
      </c>
      <c r="B40" s="13" t="str">
        <f>_xlfn.CONCAT(C40:D40)</f>
        <v>0x000000</v>
      </c>
      <c r="C40" s="60" t="s">
        <v>93</v>
      </c>
      <c r="D40" s="58" t="str">
        <f>_xlfn.CONCAT(F40:K40)</f>
        <v>000000</v>
      </c>
      <c r="E40" s="66" t="s">
        <v>151</v>
      </c>
      <c r="F40" s="60" t="str">
        <f t="shared" ref="F40:K41" si="0">BIN2HEX(MID($E40,F$39,4))</f>
        <v>0</v>
      </c>
      <c r="G40" s="60" t="str">
        <f t="shared" si="0"/>
        <v>0</v>
      </c>
      <c r="H40" s="60" t="str">
        <f t="shared" si="0"/>
        <v>0</v>
      </c>
      <c r="I40" s="60" t="str">
        <f t="shared" si="0"/>
        <v>0</v>
      </c>
      <c r="J40" s="60" t="str">
        <f t="shared" si="0"/>
        <v>0</v>
      </c>
      <c r="K40" s="60" t="str">
        <f t="shared" si="0"/>
        <v>0</v>
      </c>
      <c r="M40" t="str">
        <f>DEC2BIN(0,7)</f>
        <v>0000000</v>
      </c>
      <c r="N40" s="64" t="s">
        <v>145</v>
      </c>
      <c r="O40" s="66" t="s">
        <v>143</v>
      </c>
    </row>
    <row r="41" spans="1:15" ht="15" customHeight="1" thickBot="1">
      <c r="A41" s="27" t="s">
        <v>12</v>
      </c>
      <c r="B41" s="13" t="str">
        <f t="shared" ref="B41:B58" si="1">_xlfn.CONCAT(C41:D41)</f>
        <v>0xFE000F</v>
      </c>
      <c r="C41" s="60" t="s">
        <v>93</v>
      </c>
      <c r="D41" s="58" t="str">
        <f t="shared" ref="D41:D57" si="2">_xlfn.CONCAT(F41:K41)</f>
        <v>FE000F</v>
      </c>
      <c r="E41" s="66" t="s">
        <v>152</v>
      </c>
      <c r="F41" s="60" t="str">
        <f t="shared" si="0"/>
        <v>F</v>
      </c>
      <c r="G41" s="60" t="str">
        <f t="shared" si="0"/>
        <v>E</v>
      </c>
      <c r="H41" s="60" t="str">
        <f t="shared" si="0"/>
        <v>0</v>
      </c>
      <c r="I41" s="60" t="str">
        <f t="shared" si="0"/>
        <v>0</v>
      </c>
      <c r="J41" s="60" t="str">
        <f t="shared" si="0"/>
        <v>0</v>
      </c>
      <c r="K41" s="60" t="str">
        <f t="shared" si="0"/>
        <v>F</v>
      </c>
      <c r="M41" s="65" t="str">
        <f>DEC2BIN(127,7)</f>
        <v>1111111</v>
      </c>
      <c r="N41" s="64" t="s">
        <v>145</v>
      </c>
      <c r="O41" s="66" t="s">
        <v>150</v>
      </c>
    </row>
    <row r="42" spans="1:15" ht="15" customHeight="1" thickBot="1">
      <c r="A42" s="26" t="s">
        <v>15</v>
      </c>
      <c r="B42" s="11" t="str">
        <f>_xlfn.CONCAT(C42:D42)</f>
        <v>…</v>
      </c>
      <c r="C42" s="60" t="s">
        <v>15</v>
      </c>
      <c r="D42" s="58" t="str">
        <f t="shared" si="2"/>
        <v/>
      </c>
      <c r="E42" s="66" t="s">
        <v>153</v>
      </c>
      <c r="F42" s="60"/>
      <c r="G42" s="60"/>
      <c r="H42" s="60"/>
      <c r="I42" s="60"/>
      <c r="J42" s="60"/>
      <c r="K42" s="60"/>
      <c r="M42" s="65"/>
      <c r="N42" s="64"/>
      <c r="O42" s="66"/>
    </row>
    <row r="43" spans="1:15" ht="15" customHeight="1" thickBot="1">
      <c r="A43" s="27" t="s">
        <v>15</v>
      </c>
      <c r="B43" s="12" t="str">
        <f t="shared" si="1"/>
        <v>…</v>
      </c>
      <c r="C43" s="60" t="s">
        <v>15</v>
      </c>
      <c r="D43" s="58" t="str">
        <f t="shared" si="2"/>
        <v/>
      </c>
      <c r="E43" s="66" t="s">
        <v>153</v>
      </c>
      <c r="F43" s="60"/>
      <c r="G43" s="60"/>
      <c r="H43" s="60"/>
      <c r="I43" s="60"/>
      <c r="J43" s="60"/>
      <c r="K43" s="60"/>
      <c r="M43" s="65"/>
      <c r="N43" s="64"/>
      <c r="O43" s="66"/>
    </row>
    <row r="44" spans="1:15" ht="15" customHeight="1" thickBot="1">
      <c r="A44" s="26" t="s">
        <v>30</v>
      </c>
      <c r="B44" s="13" t="str">
        <f t="shared" si="1"/>
        <v>0x000110</v>
      </c>
      <c r="C44" s="60" t="s">
        <v>93</v>
      </c>
      <c r="D44" s="58" t="str">
        <f t="shared" si="2"/>
        <v>000110</v>
      </c>
      <c r="E44" s="66" t="s">
        <v>154</v>
      </c>
      <c r="F44" s="60" t="str">
        <f t="shared" ref="F44:K45" si="3">BIN2HEX(MID($E44,F$39,4))</f>
        <v>0</v>
      </c>
      <c r="G44" s="60" t="str">
        <f t="shared" si="3"/>
        <v>0</v>
      </c>
      <c r="H44" s="60" t="str">
        <f t="shared" si="3"/>
        <v>0</v>
      </c>
      <c r="I44" s="60" t="str">
        <f t="shared" si="3"/>
        <v>1</v>
      </c>
      <c r="J44" s="60" t="str">
        <f t="shared" si="3"/>
        <v>1</v>
      </c>
      <c r="K44" s="60" t="str">
        <f t="shared" si="3"/>
        <v>0</v>
      </c>
      <c r="M44" t="str">
        <f>DEC2BIN(0,7)</f>
        <v>0000000</v>
      </c>
      <c r="N44" s="64" t="s">
        <v>146</v>
      </c>
      <c r="O44" s="66" t="s">
        <v>143</v>
      </c>
    </row>
    <row r="45" spans="1:15" ht="15" customHeight="1" thickBot="1">
      <c r="A45" s="27" t="s">
        <v>31</v>
      </c>
      <c r="B45" s="13" t="str">
        <f t="shared" si="1"/>
        <v>0xFE011F</v>
      </c>
      <c r="C45" s="60" t="s">
        <v>93</v>
      </c>
      <c r="D45" s="58" t="str">
        <f t="shared" si="2"/>
        <v>FE011F</v>
      </c>
      <c r="E45" s="66" t="s">
        <v>155</v>
      </c>
      <c r="F45" s="60" t="str">
        <f t="shared" si="3"/>
        <v>F</v>
      </c>
      <c r="G45" s="60" t="str">
        <f t="shared" si="3"/>
        <v>E</v>
      </c>
      <c r="H45" s="60" t="str">
        <f t="shared" si="3"/>
        <v>0</v>
      </c>
      <c r="I45" s="60" t="str">
        <f t="shared" si="3"/>
        <v>1</v>
      </c>
      <c r="J45" s="60" t="str">
        <f t="shared" si="3"/>
        <v>1</v>
      </c>
      <c r="K45" s="60" t="str">
        <f t="shared" si="3"/>
        <v>F</v>
      </c>
      <c r="M45" s="65" t="str">
        <f>DEC2BIN(127,7)</f>
        <v>1111111</v>
      </c>
      <c r="N45" s="64" t="s">
        <v>146</v>
      </c>
      <c r="O45" s="66" t="s">
        <v>150</v>
      </c>
    </row>
    <row r="46" spans="1:15" ht="15" customHeight="1" thickBot="1">
      <c r="A46" s="26" t="s">
        <v>15</v>
      </c>
      <c r="B46" s="11" t="str">
        <f t="shared" si="1"/>
        <v>…</v>
      </c>
      <c r="C46" s="60" t="s">
        <v>15</v>
      </c>
      <c r="D46" s="58" t="str">
        <f t="shared" si="2"/>
        <v/>
      </c>
      <c r="E46" s="66" t="s">
        <v>153</v>
      </c>
      <c r="F46" s="60"/>
      <c r="G46" s="60"/>
      <c r="H46" s="60"/>
      <c r="I46" s="60"/>
      <c r="J46" s="60"/>
      <c r="K46" s="60"/>
      <c r="M46" s="65"/>
      <c r="N46" s="64"/>
      <c r="O46" s="66"/>
    </row>
    <row r="47" spans="1:15" ht="15" customHeight="1" thickBot="1">
      <c r="A47" s="27" t="s">
        <v>15</v>
      </c>
      <c r="B47" s="12" t="str">
        <f t="shared" si="1"/>
        <v>…</v>
      </c>
      <c r="C47" s="60" t="s">
        <v>15</v>
      </c>
      <c r="D47" s="58" t="str">
        <f t="shared" si="2"/>
        <v/>
      </c>
      <c r="E47" s="66" t="s">
        <v>153</v>
      </c>
      <c r="F47" s="60"/>
      <c r="G47" s="60"/>
      <c r="H47" s="60"/>
      <c r="I47" s="60"/>
      <c r="J47" s="60"/>
      <c r="K47" s="60"/>
      <c r="M47" s="65"/>
      <c r="N47" s="64"/>
      <c r="O47" s="66"/>
    </row>
    <row r="48" spans="1:15" ht="15" customHeight="1" thickBot="1">
      <c r="A48" s="26" t="s">
        <v>32</v>
      </c>
      <c r="B48" s="13" t="str">
        <f t="shared" si="1"/>
        <v>0x0017D0</v>
      </c>
      <c r="C48" s="60" t="s">
        <v>93</v>
      </c>
      <c r="D48" s="58" t="str">
        <f t="shared" si="2"/>
        <v>0017D0</v>
      </c>
      <c r="E48" s="66" t="s">
        <v>156</v>
      </c>
      <c r="F48" s="60" t="str">
        <f t="shared" ref="F48:K49" si="4">BIN2HEX(MID($E48,F$39,4))</f>
        <v>0</v>
      </c>
      <c r="G48" s="60" t="str">
        <f t="shared" si="4"/>
        <v>0</v>
      </c>
      <c r="H48" s="60" t="str">
        <f t="shared" si="4"/>
        <v>1</v>
      </c>
      <c r="I48" s="60" t="str">
        <f t="shared" si="4"/>
        <v>7</v>
      </c>
      <c r="J48" s="60" t="str">
        <f t="shared" si="4"/>
        <v>D</v>
      </c>
      <c r="K48" s="60" t="str">
        <f t="shared" si="4"/>
        <v>0</v>
      </c>
      <c r="M48" t="str">
        <f>DEC2BIN(0,7)</f>
        <v>0000000</v>
      </c>
      <c r="N48" s="64" t="s">
        <v>147</v>
      </c>
      <c r="O48" s="66" t="s">
        <v>143</v>
      </c>
    </row>
    <row r="49" spans="1:15" ht="15" customHeight="1" thickBot="1">
      <c r="A49" s="27" t="s">
        <v>33</v>
      </c>
      <c r="B49" s="13" t="str">
        <f t="shared" si="1"/>
        <v>0xFE17DF</v>
      </c>
      <c r="C49" s="60" t="s">
        <v>93</v>
      </c>
      <c r="D49" s="58" t="str">
        <f t="shared" si="2"/>
        <v>FE17DF</v>
      </c>
      <c r="E49" s="66" t="s">
        <v>157</v>
      </c>
      <c r="F49" s="60" t="str">
        <f t="shared" si="4"/>
        <v>F</v>
      </c>
      <c r="G49" s="60" t="str">
        <f t="shared" si="4"/>
        <v>E</v>
      </c>
      <c r="H49" s="60" t="str">
        <f t="shared" si="4"/>
        <v>1</v>
      </c>
      <c r="I49" s="60" t="str">
        <f t="shared" si="4"/>
        <v>7</v>
      </c>
      <c r="J49" s="60" t="str">
        <f t="shared" si="4"/>
        <v>D</v>
      </c>
      <c r="K49" s="60" t="str">
        <f t="shared" si="4"/>
        <v>F</v>
      </c>
      <c r="M49" s="65" t="str">
        <f>DEC2BIN(127,7)</f>
        <v>1111111</v>
      </c>
      <c r="N49" s="64" t="s">
        <v>147</v>
      </c>
      <c r="O49" s="66" t="s">
        <v>150</v>
      </c>
    </row>
    <row r="50" spans="1:15" ht="15" customHeight="1" thickBot="1">
      <c r="A50" s="26" t="s">
        <v>15</v>
      </c>
      <c r="B50" s="11" t="str">
        <f t="shared" si="1"/>
        <v>…</v>
      </c>
      <c r="C50" s="60" t="s">
        <v>15</v>
      </c>
      <c r="D50" s="58" t="str">
        <f t="shared" si="2"/>
        <v/>
      </c>
      <c r="E50" s="66" t="s">
        <v>153</v>
      </c>
      <c r="F50" s="60"/>
      <c r="G50" s="60"/>
      <c r="H50" s="60"/>
      <c r="I50" s="60"/>
      <c r="J50" s="60"/>
      <c r="K50" s="60"/>
      <c r="M50" s="65"/>
      <c r="N50" s="64"/>
      <c r="O50" s="66"/>
    </row>
    <row r="51" spans="1:15" ht="15" customHeight="1" thickBot="1">
      <c r="A51" s="27" t="s">
        <v>15</v>
      </c>
      <c r="B51" s="12" t="str">
        <f t="shared" si="1"/>
        <v>…</v>
      </c>
      <c r="C51" s="60" t="s">
        <v>15</v>
      </c>
      <c r="D51" s="58" t="str">
        <f t="shared" si="2"/>
        <v/>
      </c>
      <c r="E51" s="66" t="s">
        <v>153</v>
      </c>
      <c r="F51" s="60"/>
      <c r="G51" s="60"/>
      <c r="H51" s="60"/>
      <c r="I51" s="60"/>
      <c r="J51" s="60"/>
      <c r="K51" s="60"/>
      <c r="M51" s="65"/>
      <c r="N51" s="64"/>
      <c r="O51" s="66"/>
    </row>
    <row r="52" spans="1:15" ht="15" customHeight="1" thickBot="1">
      <c r="A52" s="26" t="s">
        <v>34</v>
      </c>
      <c r="B52" s="13" t="str">
        <f t="shared" si="1"/>
        <v>0x002000</v>
      </c>
      <c r="C52" s="60" t="s">
        <v>93</v>
      </c>
      <c r="D52" s="58" t="str">
        <f t="shared" si="2"/>
        <v>002000</v>
      </c>
      <c r="E52" s="66" t="s">
        <v>158</v>
      </c>
      <c r="F52" s="60" t="str">
        <f t="shared" ref="F52:K53" si="5">BIN2HEX(MID($E52,F$39,4))</f>
        <v>0</v>
      </c>
      <c r="G52" s="60" t="str">
        <f t="shared" si="5"/>
        <v>0</v>
      </c>
      <c r="H52" s="60" t="str">
        <f t="shared" si="5"/>
        <v>2</v>
      </c>
      <c r="I52" s="60" t="str">
        <f t="shared" si="5"/>
        <v>0</v>
      </c>
      <c r="J52" s="60" t="str">
        <f t="shared" si="5"/>
        <v>0</v>
      </c>
      <c r="K52" s="60" t="str">
        <f t="shared" si="5"/>
        <v>0</v>
      </c>
      <c r="M52" t="str">
        <f>DEC2BIN(0,7)</f>
        <v>0000000</v>
      </c>
      <c r="N52" s="64" t="s">
        <v>148</v>
      </c>
      <c r="O52" s="66" t="s">
        <v>143</v>
      </c>
    </row>
    <row r="53" spans="1:15" ht="15" customHeight="1" thickBot="1">
      <c r="A53" s="27" t="s">
        <v>35</v>
      </c>
      <c r="B53" s="13" t="str">
        <f t="shared" si="1"/>
        <v>0xFE2007</v>
      </c>
      <c r="C53" s="60" t="s">
        <v>93</v>
      </c>
      <c r="D53" s="58" t="str">
        <f t="shared" si="2"/>
        <v>FE2007</v>
      </c>
      <c r="E53" s="67" t="str">
        <f>_xlfn.CONCAT(M53:O53)</f>
        <v>1111111000100000000001111</v>
      </c>
      <c r="F53" s="60" t="str">
        <f t="shared" si="5"/>
        <v>F</v>
      </c>
      <c r="G53" s="60" t="str">
        <f t="shared" si="5"/>
        <v>E</v>
      </c>
      <c r="H53" s="60" t="str">
        <f t="shared" si="5"/>
        <v>2</v>
      </c>
      <c r="I53" s="60" t="str">
        <f t="shared" si="5"/>
        <v>0</v>
      </c>
      <c r="J53" s="60" t="str">
        <f t="shared" si="5"/>
        <v>0</v>
      </c>
      <c r="K53" s="60" t="str">
        <f t="shared" si="5"/>
        <v>7</v>
      </c>
      <c r="M53" s="65" t="str">
        <f>DEC2BIN(127,7)</f>
        <v>1111111</v>
      </c>
      <c r="N53" s="64" t="s">
        <v>148</v>
      </c>
      <c r="O53" s="66" t="s">
        <v>150</v>
      </c>
    </row>
    <row r="54" spans="1:15" ht="15" customHeight="1" thickBot="1">
      <c r="A54" s="26" t="s">
        <v>15</v>
      </c>
      <c r="B54" s="11" t="str">
        <f t="shared" si="1"/>
        <v>…</v>
      </c>
      <c r="C54" s="60" t="s">
        <v>15</v>
      </c>
      <c r="D54" s="58" t="str">
        <f t="shared" si="2"/>
        <v/>
      </c>
      <c r="E54" s="66" t="s">
        <v>153</v>
      </c>
      <c r="F54" s="60"/>
      <c r="G54" s="60"/>
      <c r="H54" s="60"/>
      <c r="I54" s="60"/>
      <c r="J54" s="60"/>
      <c r="K54" s="60"/>
      <c r="M54" s="65"/>
      <c r="N54" s="64"/>
      <c r="O54" s="66"/>
    </row>
    <row r="55" spans="1:15" ht="15" customHeight="1" thickBot="1">
      <c r="A55" s="27" t="s">
        <v>15</v>
      </c>
      <c r="B55" s="12" t="str">
        <f t="shared" si="1"/>
        <v>…</v>
      </c>
      <c r="C55" s="60" t="s">
        <v>15</v>
      </c>
      <c r="D55" s="58" t="str">
        <f t="shared" si="2"/>
        <v/>
      </c>
      <c r="E55" s="66" t="s">
        <v>153</v>
      </c>
      <c r="F55" s="60"/>
      <c r="G55" s="60"/>
      <c r="H55" s="60"/>
      <c r="I55" s="60"/>
      <c r="J55" s="60"/>
      <c r="K55" s="60"/>
      <c r="M55" s="65"/>
      <c r="N55" s="64"/>
      <c r="O55" s="66"/>
    </row>
    <row r="56" spans="1:15" ht="15" customHeight="1" thickBot="1">
      <c r="A56" s="26" t="s">
        <v>36</v>
      </c>
      <c r="B56" s="13" t="str">
        <f t="shared" si="1"/>
        <v>0x002230</v>
      </c>
      <c r="C56" s="60" t="s">
        <v>93</v>
      </c>
      <c r="D56" s="58" t="str">
        <f t="shared" si="2"/>
        <v>002230</v>
      </c>
      <c r="E56" s="66" t="s">
        <v>159</v>
      </c>
      <c r="F56" s="60" t="str">
        <f t="shared" ref="F56:K57" si="6">BIN2HEX(MID($E56,F$39,4))</f>
        <v>0</v>
      </c>
      <c r="G56" s="60" t="str">
        <f t="shared" si="6"/>
        <v>0</v>
      </c>
      <c r="H56" s="60" t="str">
        <f t="shared" si="6"/>
        <v>2</v>
      </c>
      <c r="I56" s="60" t="str">
        <f t="shared" si="6"/>
        <v>2</v>
      </c>
      <c r="J56" s="60" t="str">
        <f t="shared" si="6"/>
        <v>3</v>
      </c>
      <c r="K56" s="60" t="str">
        <f t="shared" si="6"/>
        <v>0</v>
      </c>
      <c r="M56" t="str">
        <f>DEC2BIN(0,7)</f>
        <v>0000000</v>
      </c>
      <c r="N56" s="64" t="s">
        <v>149</v>
      </c>
      <c r="O56" s="66" t="s">
        <v>143</v>
      </c>
    </row>
    <row r="57" spans="1:15" ht="15" customHeight="1" thickBot="1">
      <c r="A57" s="27" t="s">
        <v>37</v>
      </c>
      <c r="B57" s="13" t="str">
        <f t="shared" si="1"/>
        <v>0xFE2237</v>
      </c>
      <c r="C57" s="60" t="s">
        <v>93</v>
      </c>
      <c r="D57" s="58" t="str">
        <f t="shared" si="2"/>
        <v>FE2237</v>
      </c>
      <c r="E57" s="66" t="s">
        <v>160</v>
      </c>
      <c r="F57" s="60" t="str">
        <f t="shared" si="6"/>
        <v>F</v>
      </c>
      <c r="G57" s="60" t="str">
        <f t="shared" si="6"/>
        <v>E</v>
      </c>
      <c r="H57" s="60" t="str">
        <f t="shared" si="6"/>
        <v>2</v>
      </c>
      <c r="I57" s="60" t="str">
        <f t="shared" si="6"/>
        <v>2</v>
      </c>
      <c r="J57" s="60" t="str">
        <f t="shared" si="6"/>
        <v>3</v>
      </c>
      <c r="K57" s="60" t="str">
        <f t="shared" si="6"/>
        <v>7</v>
      </c>
      <c r="M57" s="65" t="str">
        <f>DEC2BIN(127,7)</f>
        <v>1111111</v>
      </c>
      <c r="N57" s="64" t="s">
        <v>149</v>
      </c>
      <c r="O57" s="66" t="s">
        <v>150</v>
      </c>
    </row>
    <row r="58" spans="1:15" ht="15" customHeight="1" thickBot="1">
      <c r="A58" s="26" t="s">
        <v>15</v>
      </c>
      <c r="B58" s="11" t="str">
        <f t="shared" si="1"/>
        <v>…</v>
      </c>
      <c r="C58" s="60" t="s">
        <v>15</v>
      </c>
      <c r="D58" s="65" t="str">
        <f t="shared" ref="D58" si="7">_xlfn.CONCAT(E58:G58)</f>
        <v/>
      </c>
      <c r="E58" s="64"/>
      <c r="F58" s="64"/>
      <c r="G58" s="64"/>
      <c r="H58" s="60"/>
    </row>
    <row r="59" spans="1:15">
      <c r="A59" s="24"/>
      <c r="B59" s="60"/>
      <c r="C59" s="60"/>
      <c r="D59" s="60"/>
      <c r="E59" s="60"/>
      <c r="F59" s="60"/>
      <c r="G59" s="60"/>
      <c r="H59" s="60"/>
    </row>
    <row r="60" spans="1:15">
      <c r="A60" s="29"/>
      <c r="B60" s="60"/>
      <c r="C60" s="60"/>
      <c r="D60" s="60"/>
      <c r="E60" s="60"/>
      <c r="F60" s="60"/>
      <c r="G60" s="60"/>
      <c r="H60" s="60"/>
    </row>
    <row r="61" spans="1:15" ht="30">
      <c r="A61" s="23" t="s">
        <v>38</v>
      </c>
      <c r="B61" s="46"/>
      <c r="C61" s="60"/>
      <c r="D61" s="60"/>
      <c r="E61" s="60"/>
      <c r="F61" s="60"/>
      <c r="G61" s="60"/>
      <c r="H61" s="60"/>
      <c r="I61" s="60"/>
    </row>
    <row r="62" spans="1:15">
      <c r="A62" s="24"/>
      <c r="B62" s="60"/>
      <c r="C62" s="60"/>
      <c r="D62" s="60"/>
      <c r="E62" s="60"/>
      <c r="F62" s="60"/>
      <c r="G62" s="60"/>
      <c r="H62" s="60"/>
      <c r="I62" s="60"/>
    </row>
    <row r="63" spans="1:15" ht="30">
      <c r="A63" s="23" t="s">
        <v>39</v>
      </c>
      <c r="B63" s="46"/>
      <c r="C63" s="60"/>
      <c r="D63" s="60"/>
      <c r="E63" s="60"/>
      <c r="F63" s="60"/>
      <c r="G63" s="60"/>
      <c r="H63" s="60"/>
      <c r="I63" s="60"/>
    </row>
    <row r="64" spans="1:15">
      <c r="A64" s="24"/>
      <c r="B64" s="60"/>
      <c r="C64" s="60"/>
      <c r="D64" s="60"/>
      <c r="E64" s="60"/>
      <c r="F64" s="60"/>
      <c r="G64" s="60"/>
      <c r="H64" s="60"/>
      <c r="I64" s="60"/>
    </row>
    <row r="65" spans="1:11" ht="30">
      <c r="A65" s="23" t="s">
        <v>40</v>
      </c>
      <c r="B65" s="46"/>
      <c r="C65" s="60"/>
      <c r="D65" s="60"/>
      <c r="E65" s="60"/>
      <c r="F65" s="60"/>
      <c r="G65" s="60"/>
      <c r="H65" s="60"/>
      <c r="I65" s="60"/>
    </row>
    <row r="66" spans="1:11">
      <c r="A66" s="24"/>
      <c r="B66" s="60"/>
      <c r="C66" s="60"/>
      <c r="D66" s="60"/>
      <c r="E66" s="60"/>
      <c r="F66" s="60"/>
      <c r="G66" s="60"/>
      <c r="H66" s="60"/>
      <c r="I66" s="60"/>
    </row>
    <row r="67" spans="1:11" ht="30">
      <c r="A67" s="23" t="s">
        <v>41</v>
      </c>
      <c r="B67" s="46"/>
      <c r="C67" s="60"/>
      <c r="D67" s="60"/>
      <c r="E67" s="60"/>
      <c r="F67" s="60"/>
      <c r="G67" s="60"/>
      <c r="H67" s="60"/>
      <c r="I67" s="60"/>
    </row>
    <row r="68" spans="1:11" ht="16.5" thickBot="1">
      <c r="A68" s="23"/>
      <c r="B68" s="60"/>
      <c r="C68" s="60"/>
      <c r="D68" s="60"/>
      <c r="E68" s="60"/>
      <c r="F68" s="60"/>
      <c r="G68" s="60"/>
      <c r="H68" s="60"/>
      <c r="I68" s="60"/>
    </row>
    <row r="69" spans="1:11" ht="45">
      <c r="A69" s="23" t="s">
        <v>42</v>
      </c>
      <c r="B69" s="15" t="s">
        <v>45</v>
      </c>
      <c r="C69" s="72" t="s">
        <v>52</v>
      </c>
      <c r="D69" s="72" t="s">
        <v>51</v>
      </c>
      <c r="E69" s="34" t="s">
        <v>46</v>
      </c>
      <c r="F69" s="34" t="s">
        <v>44</v>
      </c>
      <c r="G69" s="34" t="s">
        <v>46</v>
      </c>
      <c r="H69" s="34" t="s">
        <v>49</v>
      </c>
      <c r="I69" s="68"/>
      <c r="J69" s="60"/>
      <c r="K69" s="60"/>
    </row>
    <row r="70" spans="1:11" ht="16.5" thickBot="1">
      <c r="A70" s="23"/>
      <c r="B70" s="16"/>
      <c r="C70" s="17"/>
      <c r="D70" s="17"/>
      <c r="E70" s="17"/>
      <c r="F70" s="17"/>
      <c r="G70" s="17"/>
      <c r="H70" s="17"/>
      <c r="I70" s="69"/>
      <c r="J70" s="60"/>
      <c r="K70" s="60"/>
    </row>
    <row r="71" spans="1:11" ht="90">
      <c r="A71" s="23" t="s">
        <v>43</v>
      </c>
      <c r="B71" s="30" t="s">
        <v>45</v>
      </c>
      <c r="C71" s="33" t="s">
        <v>50</v>
      </c>
      <c r="D71" s="33" t="s">
        <v>51</v>
      </c>
      <c r="E71" s="33" t="s">
        <v>52</v>
      </c>
      <c r="F71" s="33" t="s">
        <v>53</v>
      </c>
      <c r="G71" s="33" t="s">
        <v>54</v>
      </c>
      <c r="H71" s="33" t="s">
        <v>55</v>
      </c>
      <c r="I71" s="33"/>
      <c r="J71" s="33" t="s">
        <v>56</v>
      </c>
      <c r="K71" s="33" t="s">
        <v>49</v>
      </c>
    </row>
    <row r="72" spans="1:11" ht="16.5" thickBot="1">
      <c r="A72" s="23"/>
      <c r="B72" s="31"/>
      <c r="C72" s="32"/>
      <c r="D72" s="32"/>
      <c r="E72" s="32"/>
      <c r="F72" s="32"/>
      <c r="G72" s="32"/>
      <c r="H72" s="32"/>
      <c r="I72" s="32"/>
      <c r="J72" s="32"/>
      <c r="K72" s="32"/>
    </row>
    <row r="73" spans="1:11" ht="16.5" thickBot="1">
      <c r="A73" s="23"/>
      <c r="B73" s="35"/>
      <c r="C73" s="36"/>
      <c r="D73" s="36"/>
      <c r="E73" s="36"/>
      <c r="F73" s="36"/>
      <c r="G73" s="36"/>
      <c r="H73" s="36"/>
      <c r="I73" s="70"/>
      <c r="J73" s="60"/>
      <c r="K73" s="60"/>
    </row>
    <row r="74" spans="1:11" ht="63">
      <c r="A74" s="24" t="s">
        <v>22</v>
      </c>
      <c r="B74" s="46" t="s">
        <v>57</v>
      </c>
      <c r="C74" s="60"/>
      <c r="D74" s="60"/>
      <c r="E74" s="60"/>
      <c r="F74" s="60"/>
      <c r="G74" s="60"/>
      <c r="H74" s="60"/>
      <c r="I74" s="60"/>
      <c r="J74" s="60"/>
      <c r="K74" s="60"/>
    </row>
    <row r="75" spans="1:11">
      <c r="A75" s="24"/>
      <c r="B75" s="60"/>
      <c r="C75" s="60"/>
      <c r="D75" s="60"/>
      <c r="E75" s="60"/>
      <c r="F75" s="60"/>
      <c r="G75" s="60"/>
      <c r="H75" s="60"/>
      <c r="I75" s="60"/>
      <c r="J75" s="60"/>
      <c r="K75" s="60"/>
    </row>
    <row r="76" spans="1:11">
      <c r="A76" t="s">
        <v>79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</row>
    <row r="77" spans="1:11">
      <c r="A77" s="37" t="s">
        <v>62</v>
      </c>
      <c r="B77" s="61" t="s">
        <v>63</v>
      </c>
      <c r="C77" s="61" t="s">
        <v>64</v>
      </c>
      <c r="D77" s="61" t="s">
        <v>65</v>
      </c>
      <c r="E77" s="61" t="s">
        <v>66</v>
      </c>
      <c r="F77" s="62"/>
      <c r="G77" s="60"/>
      <c r="H77" s="60"/>
      <c r="I77" s="60"/>
      <c r="J77" s="60"/>
      <c r="K77" s="60"/>
    </row>
    <row r="78" spans="1:11">
      <c r="A78" s="38">
        <v>-102</v>
      </c>
      <c r="B78" s="63"/>
      <c r="C78" s="46"/>
      <c r="D78" s="46"/>
      <c r="E78" s="46"/>
      <c r="F78" s="62"/>
      <c r="G78" s="60"/>
      <c r="H78" s="60"/>
      <c r="I78" s="60"/>
      <c r="J78" s="60"/>
      <c r="K78" s="60"/>
    </row>
    <row r="79" spans="1:11">
      <c r="A79" s="39">
        <v>-87</v>
      </c>
      <c r="B79" s="63"/>
      <c r="C79" s="46"/>
      <c r="D79" s="46"/>
      <c r="E79" s="46"/>
      <c r="F79" s="62"/>
      <c r="G79" s="60"/>
      <c r="H79" s="60"/>
      <c r="I79" s="60"/>
      <c r="J79" s="60"/>
      <c r="K79" s="60"/>
    </row>
    <row r="80" spans="1:11">
      <c r="A80" s="39">
        <v>-31</v>
      </c>
      <c r="B80" s="46"/>
      <c r="C80" s="46"/>
      <c r="D80" s="46"/>
      <c r="E80" s="46"/>
      <c r="F80" s="62"/>
      <c r="G80" s="60"/>
      <c r="H80" s="60"/>
      <c r="I80" s="60"/>
      <c r="J80" s="60"/>
      <c r="K80" s="60"/>
    </row>
    <row r="81" spans="1:11">
      <c r="B81" s="60"/>
      <c r="C81" s="60"/>
      <c r="D81" s="60"/>
      <c r="E81" s="60"/>
      <c r="F81" s="60"/>
      <c r="G81" s="60"/>
      <c r="H81" s="60"/>
      <c r="I81" s="60"/>
      <c r="J81" s="60"/>
      <c r="K81" s="60"/>
    </row>
    <row r="82" spans="1:11">
      <c r="A82" t="s">
        <v>80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</row>
    <row r="83" spans="1:11">
      <c r="A83" t="s">
        <v>81</v>
      </c>
      <c r="B83" s="46"/>
      <c r="C83" s="60"/>
      <c r="D83" s="60"/>
      <c r="E83" s="60"/>
      <c r="F83" s="60"/>
      <c r="G83" s="60"/>
      <c r="H83" s="60"/>
      <c r="I83" s="60"/>
      <c r="J83" s="60"/>
      <c r="K83" s="60"/>
    </row>
    <row r="84" spans="1:11">
      <c r="A84" t="s">
        <v>82</v>
      </c>
      <c r="B84" s="46"/>
      <c r="C84" s="60"/>
      <c r="D84" s="60"/>
      <c r="E84" s="60"/>
      <c r="F84" s="60"/>
      <c r="G84" s="60"/>
      <c r="H84" s="60"/>
      <c r="I84" s="60"/>
      <c r="J84" s="60"/>
      <c r="K84" s="60"/>
    </row>
    <row r="85" spans="1:11">
      <c r="A85" t="s">
        <v>83</v>
      </c>
      <c r="B85" s="46"/>
      <c r="C85" s="60"/>
      <c r="D85" s="60"/>
      <c r="E85" s="60"/>
      <c r="F85" s="60"/>
      <c r="G85" s="60"/>
      <c r="H85" s="60"/>
      <c r="I85" s="60"/>
      <c r="J85" s="60"/>
      <c r="K85" s="60"/>
    </row>
    <row r="86" spans="1:11">
      <c r="A86" t="s">
        <v>84</v>
      </c>
      <c r="B86" s="46"/>
      <c r="C86" s="60"/>
      <c r="D86" s="60"/>
      <c r="E86" s="60"/>
      <c r="F86" s="60"/>
      <c r="G86" s="60"/>
      <c r="H86" s="60"/>
      <c r="I86" s="60"/>
      <c r="J86" s="60"/>
      <c r="K86" s="60"/>
    </row>
    <row r="87" spans="1:11">
      <c r="B87" s="60"/>
      <c r="C87" s="60"/>
      <c r="D87" s="60"/>
      <c r="E87" s="60"/>
      <c r="F87" s="60"/>
      <c r="G87" s="60"/>
      <c r="H87" s="60"/>
      <c r="I87" s="60"/>
      <c r="J87" s="60"/>
      <c r="K87" s="60"/>
    </row>
    <row r="88" spans="1:11" ht="16.5" thickBot="1">
      <c r="A88" t="s">
        <v>85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</row>
    <row r="89" spans="1:11" ht="28.5">
      <c r="A89" s="82" t="s">
        <v>62</v>
      </c>
      <c r="B89" s="82" t="s">
        <v>67</v>
      </c>
      <c r="C89" s="40" t="s">
        <v>68</v>
      </c>
      <c r="D89" s="40" t="s">
        <v>69</v>
      </c>
      <c r="E89" s="82" t="s">
        <v>70</v>
      </c>
      <c r="F89" s="82" t="s">
        <v>71</v>
      </c>
      <c r="G89" s="82" t="s">
        <v>72</v>
      </c>
      <c r="H89" s="82" t="s">
        <v>66</v>
      </c>
      <c r="I89" s="71"/>
      <c r="J89" s="60"/>
      <c r="K89" s="60"/>
    </row>
    <row r="90" spans="1:11" ht="29.25" thickBot="1">
      <c r="A90" s="83"/>
      <c r="B90" s="83"/>
      <c r="C90" s="41" t="s">
        <v>73</v>
      </c>
      <c r="D90" s="41" t="s">
        <v>74</v>
      </c>
      <c r="E90" s="83"/>
      <c r="F90" s="83"/>
      <c r="G90" s="83"/>
      <c r="H90" s="83"/>
      <c r="I90" s="71"/>
      <c r="J90" s="60"/>
      <c r="K90" s="60"/>
    </row>
    <row r="91" spans="1:11" ht="17.25" thickTop="1" thickBot="1">
      <c r="A91" s="42" t="s">
        <v>75</v>
      </c>
      <c r="B91" s="46"/>
      <c r="C91" s="46"/>
      <c r="D91" s="46"/>
      <c r="E91" s="46"/>
      <c r="F91" s="46"/>
      <c r="G91" s="46"/>
      <c r="H91" s="46"/>
      <c r="I91" s="46"/>
      <c r="J91" s="60"/>
      <c r="K91" s="60"/>
    </row>
    <row r="92" spans="1:11" ht="16.5" thickBot="1">
      <c r="A92" s="43">
        <v>13.625</v>
      </c>
      <c r="B92" s="44">
        <v>13.625</v>
      </c>
      <c r="C92" s="46"/>
      <c r="D92" s="46"/>
      <c r="E92" s="46"/>
      <c r="F92" s="46"/>
      <c r="G92" s="46"/>
      <c r="H92" s="46"/>
      <c r="I92" s="46"/>
      <c r="J92" s="60"/>
      <c r="K92" s="60"/>
    </row>
    <row r="93" spans="1:11" ht="16.5" thickTop="1">
      <c r="A93" s="38"/>
      <c r="B93" s="62"/>
      <c r="C93" s="62"/>
      <c r="D93" s="62"/>
      <c r="E93" s="62"/>
      <c r="F93" s="62"/>
      <c r="G93" s="62"/>
      <c r="H93" s="62"/>
      <c r="I93" s="62"/>
      <c r="J93" s="60"/>
      <c r="K93" s="60"/>
    </row>
    <row r="94" spans="1:11">
      <c r="A94" s="38"/>
      <c r="B94" s="62"/>
      <c r="C94" s="62"/>
      <c r="D94" s="62"/>
      <c r="E94" s="62"/>
      <c r="F94" s="62"/>
      <c r="G94" s="62"/>
      <c r="H94" s="62"/>
      <c r="I94" s="62"/>
      <c r="J94" s="60"/>
      <c r="K94" s="60"/>
    </row>
    <row r="95" spans="1:11">
      <c r="A95" t="s">
        <v>86</v>
      </c>
      <c r="B95" s="60" t="s">
        <v>76</v>
      </c>
      <c r="C95" s="60" t="s">
        <v>77</v>
      </c>
      <c r="D95" s="60" t="s">
        <v>78</v>
      </c>
      <c r="E95" s="60"/>
      <c r="F95" s="60"/>
      <c r="G95" s="60"/>
      <c r="H95" s="60"/>
      <c r="I95" s="60"/>
      <c r="J95" s="60"/>
      <c r="K95" s="60"/>
    </row>
    <row r="96" spans="1:11">
      <c r="A96" t="s">
        <v>87</v>
      </c>
      <c r="B96" s="46"/>
      <c r="C96" s="46"/>
      <c r="D96" s="46"/>
      <c r="E96" s="60"/>
      <c r="F96" s="60"/>
      <c r="G96" s="60"/>
      <c r="H96" s="60"/>
      <c r="I96" s="60"/>
      <c r="J96" s="60"/>
      <c r="K96" s="60"/>
    </row>
    <row r="97" spans="1:11">
      <c r="A97" t="s">
        <v>88</v>
      </c>
      <c r="B97" s="46"/>
      <c r="C97" s="46"/>
      <c r="D97" s="46"/>
      <c r="E97" s="60"/>
      <c r="F97" s="60"/>
      <c r="G97" s="60"/>
      <c r="H97" s="60"/>
      <c r="I97" s="60"/>
      <c r="J97" s="60"/>
      <c r="K97" s="60"/>
    </row>
    <row r="98" spans="1:11">
      <c r="B98" s="60"/>
      <c r="C98" s="60"/>
      <c r="D98" s="60"/>
      <c r="E98" s="60"/>
      <c r="F98" s="60"/>
      <c r="G98" s="60"/>
      <c r="H98" s="60"/>
      <c r="I98" s="60"/>
      <c r="J98" s="60"/>
      <c r="K98" s="60"/>
    </row>
    <row r="99" spans="1:11">
      <c r="B99" s="60"/>
      <c r="C99" s="60"/>
      <c r="D99" s="60"/>
      <c r="E99" s="60"/>
      <c r="F99" s="60"/>
      <c r="G99" s="60"/>
      <c r="H99" s="60"/>
      <c r="I99" s="60"/>
      <c r="J99" s="60"/>
      <c r="K99" s="60"/>
    </row>
    <row r="100" spans="1:11">
      <c r="B100" s="60"/>
      <c r="C100" s="60"/>
      <c r="D100" s="60"/>
      <c r="E100" s="60"/>
      <c r="F100" s="60"/>
      <c r="G100" s="60"/>
      <c r="H100" s="60"/>
      <c r="I100" s="60"/>
      <c r="J100" s="60"/>
      <c r="K100" s="60"/>
    </row>
    <row r="101" spans="1:11">
      <c r="B101" s="60"/>
      <c r="C101" s="60"/>
      <c r="D101" s="60"/>
      <c r="E101" s="60"/>
      <c r="F101" s="60"/>
      <c r="G101" s="60"/>
      <c r="H101" s="60"/>
      <c r="I101" s="60"/>
      <c r="J101" s="60"/>
      <c r="K101" s="60"/>
    </row>
    <row r="102" spans="1:11">
      <c r="B102" s="60"/>
      <c r="C102" s="60"/>
      <c r="D102" s="60"/>
      <c r="E102" s="60"/>
      <c r="F102" s="60"/>
      <c r="G102" s="60"/>
      <c r="H102" s="60"/>
      <c r="I102" s="60"/>
      <c r="J102" s="60"/>
      <c r="K102" s="60"/>
    </row>
    <row r="103" spans="1:11">
      <c r="B103" s="60"/>
      <c r="C103" s="60"/>
      <c r="D103" s="60"/>
      <c r="E103" s="60"/>
      <c r="F103" s="60"/>
      <c r="G103" s="60"/>
      <c r="H103" s="60"/>
      <c r="I103" s="60"/>
      <c r="J103" s="60"/>
      <c r="K103" s="60"/>
    </row>
    <row r="104" spans="1:11">
      <c r="B104" s="60"/>
      <c r="C104" s="60"/>
      <c r="D104" s="60"/>
      <c r="E104" s="60"/>
      <c r="F104" s="60"/>
      <c r="G104" s="60"/>
      <c r="H104" s="60"/>
      <c r="I104" s="60"/>
      <c r="J104" s="60"/>
      <c r="K104" s="60"/>
    </row>
    <row r="105" spans="1:11"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spans="1:11"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spans="1:11"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spans="1:11"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spans="1:11">
      <c r="B109" s="60"/>
      <c r="C109" s="60"/>
      <c r="D109" s="60"/>
      <c r="E109" s="60"/>
      <c r="F109" s="60"/>
      <c r="G109" s="60"/>
      <c r="H109" s="60"/>
      <c r="I109" s="60"/>
      <c r="J109" s="60"/>
      <c r="K109" s="60"/>
    </row>
    <row r="110" spans="1:11">
      <c r="B110" s="60"/>
      <c r="C110" s="60"/>
      <c r="D110" s="60"/>
      <c r="E110" s="60"/>
      <c r="F110" s="60"/>
      <c r="G110" s="60"/>
      <c r="H110" s="60"/>
      <c r="I110" s="60"/>
      <c r="J110" s="60"/>
      <c r="K110" s="60"/>
    </row>
    <row r="111" spans="1:11">
      <c r="B111" s="60"/>
      <c r="C111" s="60"/>
      <c r="D111" s="60"/>
      <c r="E111" s="60"/>
      <c r="F111" s="60"/>
      <c r="G111" s="60"/>
      <c r="H111" s="60"/>
      <c r="I111" s="60"/>
      <c r="J111" s="60"/>
      <c r="K111" s="60"/>
    </row>
    <row r="112" spans="1:11">
      <c r="B112" s="60"/>
      <c r="C112" s="60"/>
      <c r="D112" s="60"/>
      <c r="E112" s="60"/>
      <c r="F112" s="60"/>
      <c r="G112" s="60"/>
      <c r="H112" s="60"/>
      <c r="I112" s="60"/>
      <c r="J112" s="60"/>
      <c r="K112" s="60"/>
    </row>
    <row r="113" spans="2:11">
      <c r="B113" s="60"/>
      <c r="C113" s="60"/>
      <c r="D113" s="60"/>
      <c r="E113" s="60"/>
      <c r="F113" s="60"/>
      <c r="G113" s="60"/>
      <c r="H113" s="60"/>
      <c r="I113" s="60"/>
      <c r="J113" s="60"/>
      <c r="K113" s="60"/>
    </row>
    <row r="114" spans="2:11">
      <c r="B114" s="60"/>
      <c r="C114" s="60"/>
      <c r="D114" s="60"/>
      <c r="E114" s="60"/>
      <c r="F114" s="60"/>
      <c r="G114" s="60"/>
      <c r="H114" s="60"/>
      <c r="I114" s="60"/>
      <c r="J114" s="60"/>
      <c r="K114" s="60"/>
    </row>
    <row r="115" spans="2:11">
      <c r="B115" s="60"/>
      <c r="C115" s="60"/>
      <c r="D115" s="60"/>
      <c r="E115" s="60"/>
      <c r="F115" s="60"/>
      <c r="G115" s="60"/>
      <c r="H115" s="60"/>
      <c r="I115" s="60"/>
      <c r="J115" s="60"/>
      <c r="K115" s="60"/>
    </row>
    <row r="116" spans="2:11">
      <c r="B116" s="60"/>
      <c r="C116" s="60"/>
      <c r="D116" s="60"/>
      <c r="E116" s="60"/>
      <c r="F116" s="60"/>
      <c r="G116" s="60"/>
      <c r="H116" s="60"/>
      <c r="I116" s="60"/>
      <c r="J116" s="60"/>
      <c r="K116" s="60"/>
    </row>
    <row r="117" spans="2:11">
      <c r="B117" s="60"/>
      <c r="C117" s="60"/>
      <c r="D117" s="60"/>
      <c r="E117" s="60"/>
      <c r="F117" s="60"/>
      <c r="G117" s="60"/>
      <c r="H117" s="60"/>
      <c r="I117" s="60"/>
      <c r="J117" s="60"/>
      <c r="K117" s="60"/>
    </row>
    <row r="118" spans="2:11">
      <c r="B118" s="60"/>
      <c r="C118" s="60"/>
      <c r="D118" s="60"/>
      <c r="E118" s="60"/>
      <c r="F118" s="60"/>
      <c r="G118" s="60"/>
      <c r="H118" s="60"/>
      <c r="I118" s="60"/>
      <c r="J118" s="60"/>
      <c r="K118" s="60"/>
    </row>
    <row r="119" spans="2:11">
      <c r="B119" s="60"/>
      <c r="C119" s="60"/>
      <c r="D119" s="60"/>
      <c r="E119" s="60"/>
      <c r="F119" s="60"/>
      <c r="G119" s="60"/>
      <c r="H119" s="60"/>
      <c r="I119" s="60"/>
      <c r="J119" s="60"/>
      <c r="K119" s="60"/>
    </row>
    <row r="120" spans="2:11">
      <c r="B120" s="60"/>
      <c r="C120" s="60"/>
      <c r="D120" s="60"/>
      <c r="E120" s="60"/>
      <c r="F120" s="60"/>
      <c r="G120" s="60"/>
      <c r="H120" s="60"/>
      <c r="I120" s="60"/>
      <c r="J120" s="60"/>
      <c r="K120" s="60"/>
    </row>
    <row r="121" spans="2:11">
      <c r="B121" s="60"/>
      <c r="C121" s="60"/>
      <c r="D121" s="60"/>
      <c r="E121" s="60"/>
      <c r="F121" s="60"/>
      <c r="G121" s="60"/>
      <c r="H121" s="60"/>
      <c r="I121" s="60"/>
      <c r="J121" s="60"/>
      <c r="K121" s="60"/>
    </row>
    <row r="122" spans="2:11">
      <c r="B122" s="60"/>
      <c r="C122" s="60"/>
      <c r="D122" s="60"/>
      <c r="E122" s="60"/>
      <c r="F122" s="60"/>
      <c r="G122" s="60"/>
      <c r="H122" s="60"/>
      <c r="I122" s="60"/>
      <c r="J122" s="60"/>
      <c r="K122" s="60"/>
    </row>
    <row r="123" spans="2:11">
      <c r="B123" s="60"/>
      <c r="C123" s="60"/>
      <c r="D123" s="60"/>
      <c r="E123" s="60"/>
      <c r="F123" s="60"/>
      <c r="G123" s="60"/>
      <c r="H123" s="60"/>
      <c r="I123" s="60"/>
      <c r="J123" s="60"/>
      <c r="K123" s="60"/>
    </row>
    <row r="124" spans="2:11">
      <c r="B124" s="60"/>
      <c r="C124" s="60"/>
      <c r="D124" s="60"/>
      <c r="E124" s="60"/>
      <c r="F124" s="60"/>
      <c r="G124" s="60"/>
      <c r="H124" s="60"/>
      <c r="I124" s="60"/>
      <c r="J124" s="60"/>
      <c r="K124" s="60"/>
    </row>
    <row r="125" spans="2:11">
      <c r="B125" s="60"/>
      <c r="C125" s="60"/>
      <c r="D125" s="60"/>
      <c r="E125" s="60"/>
      <c r="F125" s="60"/>
      <c r="G125" s="60"/>
      <c r="H125" s="60"/>
      <c r="I125" s="60"/>
      <c r="J125" s="60"/>
      <c r="K125" s="60"/>
    </row>
    <row r="126" spans="2:11">
      <c r="B126" s="60"/>
      <c r="C126" s="60"/>
      <c r="D126" s="60"/>
      <c r="E126" s="60"/>
      <c r="F126" s="60"/>
      <c r="G126" s="60"/>
      <c r="H126" s="60"/>
      <c r="I126" s="60"/>
      <c r="J126" s="60"/>
      <c r="K126" s="60"/>
    </row>
    <row r="127" spans="2:11">
      <c r="B127" s="60"/>
      <c r="C127" s="60"/>
      <c r="D127" s="60"/>
      <c r="E127" s="60"/>
      <c r="F127" s="60"/>
      <c r="G127" s="60"/>
      <c r="H127" s="60"/>
      <c r="I127" s="60"/>
      <c r="J127" s="60"/>
      <c r="K127" s="60"/>
    </row>
    <row r="128" spans="2:11">
      <c r="B128" s="60"/>
      <c r="C128" s="60"/>
      <c r="D128" s="60"/>
      <c r="E128" s="60"/>
      <c r="F128" s="60"/>
      <c r="G128" s="60"/>
      <c r="H128" s="60"/>
      <c r="I128" s="60"/>
      <c r="J128" s="60"/>
      <c r="K128" s="60"/>
    </row>
    <row r="129" spans="2:11">
      <c r="B129" s="60"/>
      <c r="C129" s="60"/>
      <c r="D129" s="60"/>
      <c r="E129" s="60"/>
      <c r="F129" s="60"/>
      <c r="G129" s="60"/>
      <c r="H129" s="60"/>
      <c r="I129" s="60"/>
      <c r="J129" s="60"/>
      <c r="K129" s="60"/>
    </row>
    <row r="130" spans="2:11">
      <c r="B130" s="60"/>
      <c r="C130" s="60"/>
      <c r="D130" s="60"/>
      <c r="E130" s="60"/>
      <c r="F130" s="60"/>
      <c r="G130" s="60"/>
      <c r="H130" s="60"/>
      <c r="I130" s="60"/>
      <c r="J130" s="60"/>
      <c r="K130" s="60"/>
    </row>
    <row r="131" spans="2:11">
      <c r="B131" s="60"/>
      <c r="C131" s="60"/>
      <c r="D131" s="60"/>
      <c r="E131" s="60"/>
      <c r="F131" s="60"/>
      <c r="G131" s="60"/>
      <c r="H131" s="60"/>
      <c r="I131" s="60"/>
      <c r="J131" s="60"/>
      <c r="K131" s="60"/>
    </row>
    <row r="132" spans="2:11">
      <c r="B132" s="60"/>
      <c r="C132" s="60"/>
      <c r="D132" s="60"/>
      <c r="E132" s="60"/>
      <c r="F132" s="60"/>
      <c r="G132" s="60"/>
      <c r="H132" s="60"/>
      <c r="I132" s="60"/>
      <c r="J132" s="60"/>
      <c r="K132" s="60"/>
    </row>
    <row r="133" spans="2:11">
      <c r="B133" s="60"/>
      <c r="C133" s="60"/>
      <c r="D133" s="60"/>
      <c r="E133" s="60"/>
      <c r="F133" s="60"/>
      <c r="G133" s="60"/>
      <c r="H133" s="60"/>
      <c r="I133" s="60"/>
      <c r="J133" s="60"/>
      <c r="K133" s="60"/>
    </row>
    <row r="134" spans="2:11">
      <c r="B134" s="60"/>
      <c r="C134" s="60"/>
      <c r="D134" s="60"/>
      <c r="E134" s="60"/>
      <c r="F134" s="60"/>
      <c r="G134" s="60"/>
      <c r="H134" s="60"/>
      <c r="I134" s="60"/>
      <c r="J134" s="60"/>
      <c r="K134" s="60"/>
    </row>
    <row r="135" spans="2:11">
      <c r="B135" s="60"/>
      <c r="C135" s="60"/>
      <c r="D135" s="60"/>
      <c r="E135" s="60"/>
      <c r="F135" s="60"/>
      <c r="G135" s="60"/>
      <c r="H135" s="60"/>
      <c r="I135" s="60"/>
      <c r="J135" s="60"/>
      <c r="K135" s="60"/>
    </row>
  </sheetData>
  <mergeCells count="10">
    <mergeCell ref="A89:A90"/>
    <mergeCell ref="B89:B90"/>
    <mergeCell ref="E89:E90"/>
    <mergeCell ref="F89:F90"/>
    <mergeCell ref="G89:G90"/>
    <mergeCell ref="C28:C30"/>
    <mergeCell ref="D28:D30"/>
    <mergeCell ref="E28:E30"/>
    <mergeCell ref="G28:G30"/>
    <mergeCell ref="H89:H90"/>
  </mergeCells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Nash</dc:creator>
  <cp:lastModifiedBy>Ryan Peters</cp:lastModifiedBy>
  <dcterms:created xsi:type="dcterms:W3CDTF">2016-04-16T20:40:28Z</dcterms:created>
  <dcterms:modified xsi:type="dcterms:W3CDTF">2018-10-29T15:52:12Z</dcterms:modified>
</cp:coreProperties>
</file>